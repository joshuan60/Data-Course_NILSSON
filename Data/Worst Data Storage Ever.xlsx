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1" documentId="11_76A1A5A317A9A4A68DBCBB3264FE1B3AB69AD5F8" xr6:coauthVersionLast="47" xr6:coauthVersionMax="47" xr10:uidLastSave="{1ABEC997-160D-4AFA-9214-16A0E5CB1079}"/>
  <bookViews>
    <workbookView xWindow="0" yWindow="0" windowWidth="16384" windowHeight="8192" tabRatio="993" activeTab="4" xr2:uid="{00000000-000D-0000-FFFF-FFFF00000000}"/>
  </bookViews>
  <sheets>
    <sheet name="Water Holding Capacity" sheetId="1" r:id="rId1"/>
    <sheet name="Template" sheetId="2" r:id="rId2"/>
    <sheet name="Experimental Info and Setup" sheetId="3" r:id="rId3"/>
    <sheet name="7-24-13 Initial" sheetId="4" r:id="rId4"/>
    <sheet name="7-24-13 Final" sheetId="5" r:id="rId5"/>
    <sheet name="7-29-13 Final #2" sheetId="6" r:id="rId6"/>
    <sheet name="7-30-13 Initial + cap" sheetId="7" r:id="rId7"/>
    <sheet name="8-1-13 Final #1" sheetId="8" r:id="rId8"/>
    <sheet name="8-5-13 final 1" sheetId="9" r:id="rId9"/>
    <sheet name="8-5-13 initial" sheetId="10" r:id="rId10"/>
    <sheet name="8-8-13 Final" sheetId="11" r:id="rId11"/>
    <sheet name="Worksheet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B87" i="12" l="1"/>
  <c r="BP87" i="12"/>
  <c r="BK87" i="12"/>
  <c r="BF87" i="12"/>
  <c r="BA87" i="12"/>
  <c r="AP87" i="12"/>
  <c r="AO87" i="12"/>
  <c r="AN87" i="12"/>
  <c r="AM87" i="12"/>
  <c r="AL87" i="12"/>
  <c r="AK87" i="12"/>
  <c r="N87" i="12"/>
  <c r="M87" i="12"/>
  <c r="AC87" i="12" s="1"/>
  <c r="CB86" i="12"/>
  <c r="BP86" i="12"/>
  <c r="BK86" i="12"/>
  <c r="BF86" i="12"/>
  <c r="BA86" i="12"/>
  <c r="AP86" i="12"/>
  <c r="AO86" i="12"/>
  <c r="AN86" i="12"/>
  <c r="AM86" i="12"/>
  <c r="AL86" i="12"/>
  <c r="AK86" i="12"/>
  <c r="N86" i="12"/>
  <c r="M86" i="12"/>
  <c r="AC86" i="12" s="1"/>
  <c r="CB85" i="12"/>
  <c r="BP85" i="12"/>
  <c r="BK85" i="12"/>
  <c r="BF85" i="12"/>
  <c r="BA85" i="12"/>
  <c r="AP85" i="12"/>
  <c r="AO85" i="12"/>
  <c r="AN85" i="12"/>
  <c r="AM85" i="12"/>
  <c r="AL85" i="12"/>
  <c r="AK85" i="12"/>
  <c r="N85" i="12"/>
  <c r="M85" i="12"/>
  <c r="AC85" i="12" s="1"/>
  <c r="CB84" i="12"/>
  <c r="BP84" i="12"/>
  <c r="BK84" i="12"/>
  <c r="BF84" i="12"/>
  <c r="BA84" i="12"/>
  <c r="AP84" i="12"/>
  <c r="AO84" i="12"/>
  <c r="AN84" i="12"/>
  <c r="AM84" i="12"/>
  <c r="AL84" i="12"/>
  <c r="AK84" i="12"/>
  <c r="N84" i="12"/>
  <c r="M84" i="12"/>
  <c r="AC84" i="12" s="1"/>
  <c r="CB83" i="12"/>
  <c r="BP83" i="12"/>
  <c r="BK83" i="12"/>
  <c r="BF83" i="12"/>
  <c r="BA83" i="12"/>
  <c r="AP83" i="12"/>
  <c r="AO83" i="12"/>
  <c r="AN83" i="12"/>
  <c r="AM83" i="12"/>
  <c r="AL83" i="12"/>
  <c r="AK83" i="12"/>
  <c r="N83" i="12"/>
  <c r="M83" i="12"/>
  <c r="AC83" i="12" s="1"/>
  <c r="CB82" i="12"/>
  <c r="BP82" i="12"/>
  <c r="BK82" i="12"/>
  <c r="BF82" i="12"/>
  <c r="BA82" i="12"/>
  <c r="AP82" i="12"/>
  <c r="AO82" i="12"/>
  <c r="AN82" i="12"/>
  <c r="AM82" i="12"/>
  <c r="AL82" i="12"/>
  <c r="AK82" i="12"/>
  <c r="N82" i="12"/>
  <c r="M82" i="12"/>
  <c r="AC82" i="12" s="1"/>
  <c r="CB81" i="12"/>
  <c r="BP81" i="12"/>
  <c r="BK81" i="12"/>
  <c r="BF81" i="12"/>
  <c r="BA81" i="12"/>
  <c r="AP81" i="12"/>
  <c r="AO81" i="12"/>
  <c r="AN81" i="12"/>
  <c r="AM81" i="12"/>
  <c r="AL81" i="12"/>
  <c r="AK81" i="12"/>
  <c r="N81" i="12"/>
  <c r="M81" i="12"/>
  <c r="AC81" i="12" s="1"/>
  <c r="CB80" i="12"/>
  <c r="BP80" i="12"/>
  <c r="BK80" i="12"/>
  <c r="BF80" i="12"/>
  <c r="BA80" i="12"/>
  <c r="AP80" i="12"/>
  <c r="AO80" i="12"/>
  <c r="AN80" i="12"/>
  <c r="AM80" i="12"/>
  <c r="AL80" i="12"/>
  <c r="AK80" i="12"/>
  <c r="N80" i="12"/>
  <c r="M80" i="12"/>
  <c r="AC80" i="12" s="1"/>
  <c r="CB79" i="12"/>
  <c r="BP79" i="12"/>
  <c r="BK79" i="12"/>
  <c r="BF79" i="12"/>
  <c r="BA79" i="12"/>
  <c r="AP79" i="12"/>
  <c r="AO79" i="12"/>
  <c r="AN79" i="12"/>
  <c r="AM79" i="12"/>
  <c r="AL79" i="12"/>
  <c r="AK79" i="12"/>
  <c r="N79" i="12"/>
  <c r="M79" i="12"/>
  <c r="AC79" i="12" s="1"/>
  <c r="CB78" i="12"/>
  <c r="BP78" i="12"/>
  <c r="BK78" i="12"/>
  <c r="BF78" i="12"/>
  <c r="BA78" i="12"/>
  <c r="AP78" i="12"/>
  <c r="AO78" i="12"/>
  <c r="AN78" i="12"/>
  <c r="AM78" i="12"/>
  <c r="AL78" i="12"/>
  <c r="AK78" i="12"/>
  <c r="N78" i="12"/>
  <c r="M78" i="12"/>
  <c r="AC78" i="12" s="1"/>
  <c r="CB77" i="12"/>
  <c r="BP77" i="12"/>
  <c r="BK77" i="12"/>
  <c r="BF77" i="12"/>
  <c r="BA77" i="12"/>
  <c r="AP77" i="12"/>
  <c r="AO77" i="12"/>
  <c r="AN77" i="12"/>
  <c r="AM77" i="12"/>
  <c r="AL77" i="12"/>
  <c r="AK77" i="12"/>
  <c r="N77" i="12"/>
  <c r="M77" i="12"/>
  <c r="AC77" i="12" s="1"/>
  <c r="CB76" i="12"/>
  <c r="BP76" i="12"/>
  <c r="BK76" i="12"/>
  <c r="BF76" i="12"/>
  <c r="BA76" i="12"/>
  <c r="AP76" i="12"/>
  <c r="AO76" i="12"/>
  <c r="AN76" i="12"/>
  <c r="AM76" i="12"/>
  <c r="AL76" i="12"/>
  <c r="AK76" i="12"/>
  <c r="N76" i="12"/>
  <c r="M76" i="12"/>
  <c r="AC76" i="12" s="1"/>
  <c r="CB75" i="12"/>
  <c r="BP75" i="12"/>
  <c r="BK75" i="12"/>
  <c r="BF75" i="12"/>
  <c r="BA75" i="12"/>
  <c r="AP75" i="12"/>
  <c r="AO75" i="12"/>
  <c r="AN75" i="12"/>
  <c r="AM75" i="12"/>
  <c r="AL75" i="12"/>
  <c r="AK75" i="12"/>
  <c r="N75" i="12"/>
  <c r="M75" i="12"/>
  <c r="AC75" i="12" s="1"/>
  <c r="CB74" i="12"/>
  <c r="BP74" i="12"/>
  <c r="BK74" i="12"/>
  <c r="BF74" i="12"/>
  <c r="BA74" i="12"/>
  <c r="AP74" i="12"/>
  <c r="AO74" i="12"/>
  <c r="AN74" i="12"/>
  <c r="AM74" i="12"/>
  <c r="AL74" i="12"/>
  <c r="AK74" i="12"/>
  <c r="N74" i="12"/>
  <c r="M74" i="12"/>
  <c r="AC74" i="12" s="1"/>
  <c r="CB73" i="12"/>
  <c r="BP73" i="12"/>
  <c r="BK73" i="12"/>
  <c r="BF73" i="12"/>
  <c r="BA73" i="12"/>
  <c r="AP73" i="12"/>
  <c r="AO73" i="12"/>
  <c r="AN73" i="12"/>
  <c r="AM73" i="12"/>
  <c r="AL73" i="12"/>
  <c r="AK73" i="12"/>
  <c r="N73" i="12"/>
  <c r="M73" i="12"/>
  <c r="AC73" i="12" s="1"/>
  <c r="CB72" i="12"/>
  <c r="BP72" i="12"/>
  <c r="BK72" i="12"/>
  <c r="BF72" i="12"/>
  <c r="BA72" i="12"/>
  <c r="AP72" i="12"/>
  <c r="AO72" i="12"/>
  <c r="AN72" i="12"/>
  <c r="AM72" i="12"/>
  <c r="AL72" i="12"/>
  <c r="AK72" i="12"/>
  <c r="N72" i="12"/>
  <c r="M72" i="12"/>
  <c r="AC72" i="12" s="1"/>
  <c r="CB71" i="12"/>
  <c r="BP71" i="12"/>
  <c r="BK71" i="12"/>
  <c r="BF71" i="12"/>
  <c r="BA71" i="12"/>
  <c r="AP71" i="12"/>
  <c r="AO71" i="12"/>
  <c r="AN71" i="12"/>
  <c r="AM71" i="12"/>
  <c r="AL71" i="12"/>
  <c r="AK71" i="12"/>
  <c r="N71" i="12"/>
  <c r="M71" i="12"/>
  <c r="AC71" i="12" s="1"/>
  <c r="CB70" i="12"/>
  <c r="BP70" i="12"/>
  <c r="BK70" i="12"/>
  <c r="BF70" i="12"/>
  <c r="BA70" i="12"/>
  <c r="AP70" i="12"/>
  <c r="AO70" i="12"/>
  <c r="AN70" i="12"/>
  <c r="AM70" i="12"/>
  <c r="AL70" i="12"/>
  <c r="AK70" i="12"/>
  <c r="N70" i="12"/>
  <c r="M70" i="12"/>
  <c r="AC70" i="12" s="1"/>
  <c r="CB69" i="12"/>
  <c r="BP69" i="12"/>
  <c r="BK69" i="12"/>
  <c r="BF69" i="12"/>
  <c r="BA69" i="12"/>
  <c r="AP69" i="12"/>
  <c r="AO69" i="12"/>
  <c r="AN69" i="12"/>
  <c r="AM69" i="12"/>
  <c r="AL69" i="12"/>
  <c r="AK69" i="12"/>
  <c r="N69" i="12"/>
  <c r="M69" i="12"/>
  <c r="AC69" i="12" s="1"/>
  <c r="CB68" i="12"/>
  <c r="BP68" i="12"/>
  <c r="BK68" i="12"/>
  <c r="BF68" i="12"/>
  <c r="BA68" i="12"/>
  <c r="AP68" i="12"/>
  <c r="AO68" i="12"/>
  <c r="AN68" i="12"/>
  <c r="AM68" i="12"/>
  <c r="AL68" i="12"/>
  <c r="AK68" i="12"/>
  <c r="N68" i="12"/>
  <c r="M68" i="12"/>
  <c r="AC68" i="12" s="1"/>
  <c r="CB67" i="12"/>
  <c r="BP67" i="12"/>
  <c r="BK67" i="12"/>
  <c r="BF67" i="12"/>
  <c r="BA67" i="12"/>
  <c r="AP67" i="12"/>
  <c r="AO67" i="12"/>
  <c r="AN67" i="12"/>
  <c r="AM67" i="12"/>
  <c r="AL67" i="12"/>
  <c r="AK67" i="12"/>
  <c r="N67" i="12"/>
  <c r="M67" i="12"/>
  <c r="AC67" i="12" s="1"/>
  <c r="CB66" i="12"/>
  <c r="BP66" i="12"/>
  <c r="BK66" i="12"/>
  <c r="BF66" i="12"/>
  <c r="BA66" i="12"/>
  <c r="AP66" i="12"/>
  <c r="AO66" i="12"/>
  <c r="AN66" i="12"/>
  <c r="AM66" i="12"/>
  <c r="AL66" i="12"/>
  <c r="AK66" i="12"/>
  <c r="N66" i="12"/>
  <c r="M66" i="12"/>
  <c r="AC66" i="12" s="1"/>
  <c r="CB65" i="12"/>
  <c r="BP65" i="12"/>
  <c r="BK65" i="12"/>
  <c r="BF65" i="12"/>
  <c r="BA65" i="12"/>
  <c r="AP65" i="12"/>
  <c r="AO65" i="12"/>
  <c r="AN65" i="12"/>
  <c r="AM65" i="12"/>
  <c r="AL65" i="12"/>
  <c r="AK65" i="12"/>
  <c r="N65" i="12"/>
  <c r="M65" i="12"/>
  <c r="AC65" i="12" s="1"/>
  <c r="CB64" i="12"/>
  <c r="BP64" i="12"/>
  <c r="BK64" i="12"/>
  <c r="BF64" i="12"/>
  <c r="BA64" i="12"/>
  <c r="AP64" i="12"/>
  <c r="AO64" i="12"/>
  <c r="AN64" i="12"/>
  <c r="AM64" i="12"/>
  <c r="AL64" i="12"/>
  <c r="AK64" i="12"/>
  <c r="N64" i="12"/>
  <c r="M64" i="12"/>
  <c r="AC64" i="12" s="1"/>
  <c r="CB63" i="12"/>
  <c r="BP63" i="12"/>
  <c r="BK63" i="12"/>
  <c r="BF63" i="12"/>
  <c r="BA63" i="12"/>
  <c r="AP63" i="12"/>
  <c r="AO63" i="12"/>
  <c r="AN63" i="12"/>
  <c r="AM63" i="12"/>
  <c r="AL63" i="12"/>
  <c r="AK63" i="12"/>
  <c r="N63" i="12"/>
  <c r="M63" i="12"/>
  <c r="AC63" i="12" s="1"/>
  <c r="CB62" i="12"/>
  <c r="BP62" i="12"/>
  <c r="BK62" i="12"/>
  <c r="BF62" i="12"/>
  <c r="BA62" i="12"/>
  <c r="AP62" i="12"/>
  <c r="AO62" i="12"/>
  <c r="AN62" i="12"/>
  <c r="AM62" i="12"/>
  <c r="AL62" i="12"/>
  <c r="AK62" i="12"/>
  <c r="N62" i="12"/>
  <c r="M62" i="12"/>
  <c r="AC62" i="12" s="1"/>
  <c r="CB61" i="12"/>
  <c r="BP61" i="12"/>
  <c r="BK61" i="12"/>
  <c r="BF61" i="12"/>
  <c r="BA61" i="12"/>
  <c r="AP61" i="12"/>
  <c r="AO61" i="12"/>
  <c r="AN61" i="12"/>
  <c r="AM61" i="12"/>
  <c r="AL61" i="12"/>
  <c r="AK61" i="12"/>
  <c r="N61" i="12"/>
  <c r="M61" i="12"/>
  <c r="AC61" i="12" s="1"/>
  <c r="CB60" i="12"/>
  <c r="BP60" i="12"/>
  <c r="BK60" i="12"/>
  <c r="BF60" i="12"/>
  <c r="BA60" i="12"/>
  <c r="AP60" i="12"/>
  <c r="AO60" i="12"/>
  <c r="AN60" i="12"/>
  <c r="AM60" i="12"/>
  <c r="AL60" i="12"/>
  <c r="AK60" i="12"/>
  <c r="N60" i="12"/>
  <c r="M60" i="12"/>
  <c r="AC60" i="12" s="1"/>
  <c r="CB59" i="12"/>
  <c r="BP59" i="12"/>
  <c r="BK59" i="12"/>
  <c r="BF59" i="12"/>
  <c r="BA59" i="12"/>
  <c r="AP59" i="12"/>
  <c r="AO59" i="12"/>
  <c r="AN59" i="12"/>
  <c r="AM59" i="12"/>
  <c r="AL59" i="12"/>
  <c r="AK59" i="12"/>
  <c r="N59" i="12"/>
  <c r="M59" i="12"/>
  <c r="AC59" i="12" s="1"/>
  <c r="CB58" i="12"/>
  <c r="BP58" i="12"/>
  <c r="BK58" i="12"/>
  <c r="BF58" i="12"/>
  <c r="BA58" i="12"/>
  <c r="AP58" i="12"/>
  <c r="AO58" i="12"/>
  <c r="AN58" i="12"/>
  <c r="AM58" i="12"/>
  <c r="AL58" i="12"/>
  <c r="AK58" i="12"/>
  <c r="N58" i="12"/>
  <c r="M58" i="12"/>
  <c r="AC58" i="12" s="1"/>
  <c r="CB57" i="12"/>
  <c r="BP57" i="12"/>
  <c r="BK57" i="12"/>
  <c r="BF57" i="12"/>
  <c r="BA57" i="12"/>
  <c r="AP57" i="12"/>
  <c r="AO57" i="12"/>
  <c r="AN57" i="12"/>
  <c r="AM57" i="12"/>
  <c r="AL57" i="12"/>
  <c r="AK57" i="12"/>
  <c r="N57" i="12"/>
  <c r="M57" i="12"/>
  <c r="AC57" i="12" s="1"/>
  <c r="CB56" i="12"/>
  <c r="BP56" i="12"/>
  <c r="BK56" i="12"/>
  <c r="BF56" i="12"/>
  <c r="BA56" i="12"/>
  <c r="AP56" i="12"/>
  <c r="AO56" i="12"/>
  <c r="AN56" i="12"/>
  <c r="AM56" i="12"/>
  <c r="AL56" i="12"/>
  <c r="AK56" i="12"/>
  <c r="N56" i="12"/>
  <c r="M56" i="12"/>
  <c r="AC56" i="12" s="1"/>
  <c r="CB55" i="12"/>
  <c r="BP55" i="12"/>
  <c r="BK55" i="12"/>
  <c r="BF55" i="12"/>
  <c r="BA55" i="12"/>
  <c r="AP55" i="12"/>
  <c r="AO55" i="12"/>
  <c r="AN55" i="12"/>
  <c r="AM55" i="12"/>
  <c r="AL55" i="12"/>
  <c r="AK55" i="12"/>
  <c r="N55" i="12"/>
  <c r="M55" i="12"/>
  <c r="AC55" i="12" s="1"/>
  <c r="CB54" i="12"/>
  <c r="BP54" i="12"/>
  <c r="BK54" i="12"/>
  <c r="BF54" i="12"/>
  <c r="BA54" i="12"/>
  <c r="AP54" i="12"/>
  <c r="AO54" i="12"/>
  <c r="AN54" i="12"/>
  <c r="AM54" i="12"/>
  <c r="AL54" i="12"/>
  <c r="AK54" i="12"/>
  <c r="N54" i="12"/>
  <c r="M54" i="12"/>
  <c r="AC54" i="12" s="1"/>
  <c r="CB53" i="12"/>
  <c r="BP53" i="12"/>
  <c r="BK53" i="12"/>
  <c r="BF53" i="12"/>
  <c r="BA53" i="12"/>
  <c r="AP53" i="12"/>
  <c r="AO53" i="12"/>
  <c r="AN53" i="12"/>
  <c r="AM53" i="12"/>
  <c r="AL53" i="12"/>
  <c r="AK53" i="12"/>
  <c r="N53" i="12"/>
  <c r="M53" i="12"/>
  <c r="AC53" i="12" s="1"/>
  <c r="CB52" i="12"/>
  <c r="BP52" i="12"/>
  <c r="BK52" i="12"/>
  <c r="BF52" i="12"/>
  <c r="BA52" i="12"/>
  <c r="AP52" i="12"/>
  <c r="AO52" i="12"/>
  <c r="AN52" i="12"/>
  <c r="AM52" i="12"/>
  <c r="AL52" i="12"/>
  <c r="AK52" i="12"/>
  <c r="N52" i="12"/>
  <c r="M52" i="12"/>
  <c r="AC52" i="12" s="1"/>
  <c r="CB51" i="12"/>
  <c r="BP51" i="12"/>
  <c r="BK51" i="12"/>
  <c r="BF51" i="12"/>
  <c r="BA51" i="12"/>
  <c r="AP51" i="12"/>
  <c r="AO51" i="12"/>
  <c r="AN51" i="12"/>
  <c r="AM51" i="12"/>
  <c r="AL51" i="12"/>
  <c r="AK51" i="12"/>
  <c r="N51" i="12"/>
  <c r="M51" i="12"/>
  <c r="AC51" i="12" s="1"/>
  <c r="CB50" i="12"/>
  <c r="BP50" i="12"/>
  <c r="BK50" i="12"/>
  <c r="BF50" i="12"/>
  <c r="BA50" i="12"/>
  <c r="AP50" i="12"/>
  <c r="AO50" i="12"/>
  <c r="AN50" i="12"/>
  <c r="AM50" i="12"/>
  <c r="AL50" i="12"/>
  <c r="AK50" i="12"/>
  <c r="N50" i="12"/>
  <c r="M50" i="12"/>
  <c r="AC50" i="12" s="1"/>
  <c r="CB49" i="12"/>
  <c r="BP49" i="12"/>
  <c r="BK49" i="12"/>
  <c r="BF49" i="12"/>
  <c r="BA49" i="12"/>
  <c r="AP49" i="12"/>
  <c r="AO49" i="12"/>
  <c r="AN49" i="12"/>
  <c r="AM49" i="12"/>
  <c r="AL49" i="12"/>
  <c r="AK49" i="12"/>
  <c r="N49" i="12"/>
  <c r="M49" i="12"/>
  <c r="AC49" i="12" s="1"/>
  <c r="CB48" i="12"/>
  <c r="BP48" i="12"/>
  <c r="BK48" i="12"/>
  <c r="BF48" i="12"/>
  <c r="BA48" i="12"/>
  <c r="AP48" i="12"/>
  <c r="AO48" i="12"/>
  <c r="AN48" i="12"/>
  <c r="AM48" i="12"/>
  <c r="AL48" i="12"/>
  <c r="AK48" i="12"/>
  <c r="N48" i="12"/>
  <c r="M48" i="12"/>
  <c r="AC48" i="12" s="1"/>
  <c r="CB47" i="12"/>
  <c r="BP47" i="12"/>
  <c r="BK47" i="12"/>
  <c r="BF47" i="12"/>
  <c r="BA47" i="12"/>
  <c r="AP47" i="12"/>
  <c r="AO47" i="12"/>
  <c r="AN47" i="12"/>
  <c r="AM47" i="12"/>
  <c r="AL47" i="12"/>
  <c r="AK47" i="12"/>
  <c r="N47" i="12"/>
  <c r="M47" i="12"/>
  <c r="AC47" i="12" s="1"/>
  <c r="CB46" i="12"/>
  <c r="BP46" i="12"/>
  <c r="BK46" i="12"/>
  <c r="BF46" i="12"/>
  <c r="BA46" i="12"/>
  <c r="AP46" i="12"/>
  <c r="AO46" i="12"/>
  <c r="AN46" i="12"/>
  <c r="AM46" i="12"/>
  <c r="AL46" i="12"/>
  <c r="AK46" i="12"/>
  <c r="N46" i="12"/>
  <c r="M46" i="12"/>
  <c r="AC46" i="12" s="1"/>
  <c r="CB45" i="12"/>
  <c r="BP45" i="12"/>
  <c r="BK45" i="12"/>
  <c r="BF45" i="12"/>
  <c r="BA45" i="12"/>
  <c r="AP45" i="12"/>
  <c r="AO45" i="12"/>
  <c r="AN45" i="12"/>
  <c r="AM45" i="12"/>
  <c r="AL45" i="12"/>
  <c r="AK45" i="12"/>
  <c r="N45" i="12"/>
  <c r="M45" i="12"/>
  <c r="AC45" i="12" s="1"/>
  <c r="CB44" i="12"/>
  <c r="BP44" i="12"/>
  <c r="BK44" i="12"/>
  <c r="BF44" i="12"/>
  <c r="BA44" i="12"/>
  <c r="AP44" i="12"/>
  <c r="AO44" i="12"/>
  <c r="AN44" i="12"/>
  <c r="AM44" i="12"/>
  <c r="AL44" i="12"/>
  <c r="AK44" i="12"/>
  <c r="N44" i="12"/>
  <c r="M44" i="12"/>
  <c r="AC44" i="12" s="1"/>
  <c r="CB43" i="12"/>
  <c r="BP43" i="12"/>
  <c r="BK43" i="12"/>
  <c r="BF43" i="12"/>
  <c r="BA43" i="12"/>
  <c r="AP43" i="12"/>
  <c r="AO43" i="12"/>
  <c r="AN43" i="12"/>
  <c r="AM43" i="12"/>
  <c r="AL43" i="12"/>
  <c r="AK43" i="12"/>
  <c r="N43" i="12"/>
  <c r="M43" i="12"/>
  <c r="AC43" i="12" s="1"/>
  <c r="CB42" i="12"/>
  <c r="BP42" i="12"/>
  <c r="BK42" i="12"/>
  <c r="BF42" i="12"/>
  <c r="BA42" i="12"/>
  <c r="AP42" i="12"/>
  <c r="AO42" i="12"/>
  <c r="AN42" i="12"/>
  <c r="AM42" i="12"/>
  <c r="AL42" i="12"/>
  <c r="AK42" i="12"/>
  <c r="N42" i="12"/>
  <c r="M42" i="12"/>
  <c r="AC42" i="12" s="1"/>
  <c r="CB41" i="12"/>
  <c r="BP41" i="12"/>
  <c r="BK41" i="12"/>
  <c r="BF41" i="12"/>
  <c r="BA41" i="12"/>
  <c r="AP41" i="12"/>
  <c r="AO41" i="12"/>
  <c r="AN41" i="12"/>
  <c r="AM41" i="12"/>
  <c r="AL41" i="12"/>
  <c r="AK41" i="12"/>
  <c r="N41" i="12"/>
  <c r="M41" i="12"/>
  <c r="AC41" i="12" s="1"/>
  <c r="CB40" i="12"/>
  <c r="BP40" i="12"/>
  <c r="BK40" i="12"/>
  <c r="BF40" i="12"/>
  <c r="BA40" i="12"/>
  <c r="AP40" i="12"/>
  <c r="AO40" i="12"/>
  <c r="AN40" i="12"/>
  <c r="AM40" i="12"/>
  <c r="AL40" i="12"/>
  <c r="AK40" i="12"/>
  <c r="N40" i="12"/>
  <c r="M40" i="12"/>
  <c r="AC40" i="12" s="1"/>
  <c r="CB39" i="12"/>
  <c r="BP39" i="12"/>
  <c r="BK39" i="12"/>
  <c r="BF39" i="12"/>
  <c r="BA39" i="12"/>
  <c r="AP39" i="12"/>
  <c r="AO39" i="12"/>
  <c r="AN39" i="12"/>
  <c r="AM39" i="12"/>
  <c r="AL39" i="12"/>
  <c r="AK39" i="12"/>
  <c r="N39" i="12"/>
  <c r="M39" i="12"/>
  <c r="AC39" i="12" s="1"/>
  <c r="CB38" i="12"/>
  <c r="BP38" i="12"/>
  <c r="BK38" i="12"/>
  <c r="BF38" i="12"/>
  <c r="BA38" i="12"/>
  <c r="AP38" i="12"/>
  <c r="AO38" i="12"/>
  <c r="AN38" i="12"/>
  <c r="AM38" i="12"/>
  <c r="AL38" i="12"/>
  <c r="AK38" i="12"/>
  <c r="N38" i="12"/>
  <c r="M38" i="12"/>
  <c r="AC38" i="12" s="1"/>
  <c r="CB37" i="12"/>
  <c r="BP37" i="12"/>
  <c r="BK37" i="12"/>
  <c r="BF37" i="12"/>
  <c r="BA37" i="12"/>
  <c r="AP37" i="12"/>
  <c r="AO37" i="12"/>
  <c r="AN37" i="12"/>
  <c r="AM37" i="12"/>
  <c r="AL37" i="12"/>
  <c r="AK37" i="12"/>
  <c r="N37" i="12"/>
  <c r="M37" i="12"/>
  <c r="AC37" i="12" s="1"/>
  <c r="CB36" i="12"/>
  <c r="BP36" i="12"/>
  <c r="BK36" i="12"/>
  <c r="BF36" i="12"/>
  <c r="BA36" i="12"/>
  <c r="AP36" i="12"/>
  <c r="AO36" i="12"/>
  <c r="AN36" i="12"/>
  <c r="AM36" i="12"/>
  <c r="AL36" i="12"/>
  <c r="AK36" i="12"/>
  <c r="N36" i="12"/>
  <c r="M36" i="12"/>
  <c r="AC36" i="12" s="1"/>
  <c r="CB35" i="12"/>
  <c r="BP35" i="12"/>
  <c r="BK35" i="12"/>
  <c r="BF35" i="12"/>
  <c r="BA35" i="12"/>
  <c r="AP35" i="12"/>
  <c r="AO35" i="12"/>
  <c r="AN35" i="12"/>
  <c r="AM35" i="12"/>
  <c r="AL35" i="12"/>
  <c r="AK35" i="12"/>
  <c r="N35" i="12"/>
  <c r="M35" i="12"/>
  <c r="AC35" i="12" s="1"/>
  <c r="CB34" i="12"/>
  <c r="BP34" i="12"/>
  <c r="BK34" i="12"/>
  <c r="BF34" i="12"/>
  <c r="BA34" i="12"/>
  <c r="AP34" i="12"/>
  <c r="AO34" i="12"/>
  <c r="AN34" i="12"/>
  <c r="AM34" i="12"/>
  <c r="AL34" i="12"/>
  <c r="AK34" i="12"/>
  <c r="N34" i="12"/>
  <c r="M34" i="12"/>
  <c r="AC34" i="12" s="1"/>
  <c r="CB33" i="12"/>
  <c r="BP33" i="12"/>
  <c r="BK33" i="12"/>
  <c r="BF33" i="12"/>
  <c r="BA33" i="12"/>
  <c r="AP33" i="12"/>
  <c r="AO33" i="12"/>
  <c r="AN33" i="12"/>
  <c r="AM33" i="12"/>
  <c r="AL33" i="12"/>
  <c r="AK33" i="12"/>
  <c r="N33" i="12"/>
  <c r="M33" i="12"/>
  <c r="AC33" i="12" s="1"/>
  <c r="CB32" i="12"/>
  <c r="BP32" i="12"/>
  <c r="BK32" i="12"/>
  <c r="BF32" i="12"/>
  <c r="BA32" i="12"/>
  <c r="AP32" i="12"/>
  <c r="AO32" i="12"/>
  <c r="AN32" i="12"/>
  <c r="AM32" i="12"/>
  <c r="AL32" i="12"/>
  <c r="AK32" i="12"/>
  <c r="N32" i="12"/>
  <c r="M32" i="12"/>
  <c r="AC32" i="12" s="1"/>
  <c r="CB31" i="12"/>
  <c r="BP31" i="12"/>
  <c r="BK31" i="12"/>
  <c r="BF31" i="12"/>
  <c r="BA31" i="12"/>
  <c r="AP31" i="12"/>
  <c r="AO31" i="12"/>
  <c r="AN31" i="12"/>
  <c r="AM31" i="12"/>
  <c r="AL31" i="12"/>
  <c r="AK31" i="12"/>
  <c r="N31" i="12"/>
  <c r="M31" i="12"/>
  <c r="AC31" i="12" s="1"/>
  <c r="CB30" i="12"/>
  <c r="BP30" i="12"/>
  <c r="BK30" i="12"/>
  <c r="BF30" i="12"/>
  <c r="BA30" i="12"/>
  <c r="AP30" i="12"/>
  <c r="AO30" i="12"/>
  <c r="AN30" i="12"/>
  <c r="AM30" i="12"/>
  <c r="AL30" i="12"/>
  <c r="AK30" i="12"/>
  <c r="N30" i="12"/>
  <c r="M30" i="12"/>
  <c r="AC30" i="12" s="1"/>
  <c r="CB29" i="12"/>
  <c r="BP29" i="12"/>
  <c r="BK29" i="12"/>
  <c r="BF29" i="12"/>
  <c r="BA29" i="12"/>
  <c r="AP29" i="12"/>
  <c r="AO29" i="12"/>
  <c r="AN29" i="12"/>
  <c r="AM29" i="12"/>
  <c r="AL29" i="12"/>
  <c r="AK29" i="12"/>
  <c r="N29" i="12"/>
  <c r="M29" i="12"/>
  <c r="AC29" i="12" s="1"/>
  <c r="CB28" i="12"/>
  <c r="BP28" i="12"/>
  <c r="BK28" i="12"/>
  <c r="BF28" i="12"/>
  <c r="BA28" i="12"/>
  <c r="AP28" i="12"/>
  <c r="AO28" i="12"/>
  <c r="AN28" i="12"/>
  <c r="AM28" i="12"/>
  <c r="AL28" i="12"/>
  <c r="AK28" i="12"/>
  <c r="N28" i="12"/>
  <c r="M28" i="12"/>
  <c r="AC28" i="12" s="1"/>
  <c r="CB27" i="12"/>
  <c r="BP27" i="12"/>
  <c r="BK27" i="12"/>
  <c r="BF27" i="12"/>
  <c r="BA27" i="12"/>
  <c r="AP27" i="12"/>
  <c r="AO27" i="12"/>
  <c r="AN27" i="12"/>
  <c r="AM27" i="12"/>
  <c r="AL27" i="12"/>
  <c r="AK27" i="12"/>
  <c r="N27" i="12"/>
  <c r="M27" i="12"/>
  <c r="AC27" i="12" s="1"/>
  <c r="CB26" i="12"/>
  <c r="BP26" i="12"/>
  <c r="BK26" i="12"/>
  <c r="BF26" i="12"/>
  <c r="BA26" i="12"/>
  <c r="AP26" i="12"/>
  <c r="AO26" i="12"/>
  <c r="AN26" i="12"/>
  <c r="AM26" i="12"/>
  <c r="AL26" i="12"/>
  <c r="AK26" i="12"/>
  <c r="N26" i="12"/>
  <c r="M26" i="12"/>
  <c r="AC26" i="12" s="1"/>
  <c r="CB25" i="12"/>
  <c r="BP25" i="12"/>
  <c r="BK25" i="12"/>
  <c r="BF25" i="12"/>
  <c r="BA25" i="12"/>
  <c r="AP25" i="12"/>
  <c r="AO25" i="12"/>
  <c r="AN25" i="12"/>
  <c r="AM25" i="12"/>
  <c r="AL25" i="12"/>
  <c r="AK25" i="12"/>
  <c r="N25" i="12"/>
  <c r="M25" i="12"/>
  <c r="AC25" i="12" s="1"/>
  <c r="CB24" i="12"/>
  <c r="BP24" i="12"/>
  <c r="BK24" i="12"/>
  <c r="BF24" i="12"/>
  <c r="BA24" i="12"/>
  <c r="AP24" i="12"/>
  <c r="AO24" i="12"/>
  <c r="AN24" i="12"/>
  <c r="AM24" i="12"/>
  <c r="AL24" i="12"/>
  <c r="AK24" i="12"/>
  <c r="N24" i="12"/>
  <c r="M24" i="12"/>
  <c r="AC24" i="12" s="1"/>
  <c r="CB23" i="12"/>
  <c r="BP23" i="12"/>
  <c r="BK23" i="12"/>
  <c r="BF23" i="12"/>
  <c r="BA23" i="12"/>
  <c r="AP23" i="12"/>
  <c r="AO23" i="12"/>
  <c r="AN23" i="12"/>
  <c r="AM23" i="12"/>
  <c r="AL23" i="12"/>
  <c r="AK23" i="12"/>
  <c r="N23" i="12"/>
  <c r="M23" i="12"/>
  <c r="AC23" i="12" s="1"/>
  <c r="CB22" i="12"/>
  <c r="BP22" i="12"/>
  <c r="BK22" i="12"/>
  <c r="BF22" i="12"/>
  <c r="BA22" i="12"/>
  <c r="AP22" i="12"/>
  <c r="AO22" i="12"/>
  <c r="AN22" i="12"/>
  <c r="AM22" i="12"/>
  <c r="AL22" i="12"/>
  <c r="AK22" i="12"/>
  <c r="N22" i="12"/>
  <c r="M22" i="12"/>
  <c r="AC22" i="12" s="1"/>
  <c r="CB21" i="12"/>
  <c r="BP21" i="12"/>
  <c r="BK21" i="12"/>
  <c r="BF21" i="12"/>
  <c r="BA21" i="12"/>
  <c r="AP21" i="12"/>
  <c r="AO21" i="12"/>
  <c r="AN21" i="12"/>
  <c r="AM21" i="12"/>
  <c r="AL21" i="12"/>
  <c r="AK21" i="12"/>
  <c r="N21" i="12"/>
  <c r="M21" i="12"/>
  <c r="AC21" i="12" s="1"/>
  <c r="CB20" i="12"/>
  <c r="BP20" i="12"/>
  <c r="BK20" i="12"/>
  <c r="BF20" i="12"/>
  <c r="BA20" i="12"/>
  <c r="AP20" i="12"/>
  <c r="AO20" i="12"/>
  <c r="AN20" i="12"/>
  <c r="AM20" i="12"/>
  <c r="AL20" i="12"/>
  <c r="AK20" i="12"/>
  <c r="N20" i="12"/>
  <c r="M20" i="12"/>
  <c r="AC20" i="12" s="1"/>
  <c r="CB19" i="12"/>
  <c r="BP19" i="12"/>
  <c r="BK19" i="12"/>
  <c r="BF19" i="12"/>
  <c r="BA19" i="12"/>
  <c r="AP19" i="12"/>
  <c r="AO19" i="12"/>
  <c r="AN19" i="12"/>
  <c r="AM19" i="12"/>
  <c r="AL19" i="12"/>
  <c r="AK19" i="12"/>
  <c r="N19" i="12"/>
  <c r="M19" i="12"/>
  <c r="AC19" i="12" s="1"/>
  <c r="CB18" i="12"/>
  <c r="BP18" i="12"/>
  <c r="BK18" i="12"/>
  <c r="BF18" i="12"/>
  <c r="BA18" i="12"/>
  <c r="AP18" i="12"/>
  <c r="AO18" i="12"/>
  <c r="AN18" i="12"/>
  <c r="AM18" i="12"/>
  <c r="AL18" i="12"/>
  <c r="AK18" i="12"/>
  <c r="N18" i="12"/>
  <c r="M18" i="12"/>
  <c r="AC18" i="12" s="1"/>
  <c r="CB17" i="12"/>
  <c r="BP17" i="12"/>
  <c r="BK17" i="12"/>
  <c r="BF17" i="12"/>
  <c r="BA17" i="12"/>
  <c r="AP17" i="12"/>
  <c r="AO17" i="12"/>
  <c r="AN17" i="12"/>
  <c r="AM17" i="12"/>
  <c r="AL17" i="12"/>
  <c r="AK17" i="12"/>
  <c r="N17" i="12"/>
  <c r="M17" i="12"/>
  <c r="AC17" i="12" s="1"/>
  <c r="CB16" i="12"/>
  <c r="BP16" i="12"/>
  <c r="BK16" i="12"/>
  <c r="BF16" i="12"/>
  <c r="BA16" i="12"/>
  <c r="AP16" i="12"/>
  <c r="AO16" i="12"/>
  <c r="AN16" i="12"/>
  <c r="AM16" i="12"/>
  <c r="AL16" i="12"/>
  <c r="AK16" i="12"/>
  <c r="N16" i="12"/>
  <c r="M16" i="12"/>
  <c r="AC16" i="12" s="1"/>
  <c r="CB15" i="12"/>
  <c r="BP15" i="12"/>
  <c r="BK15" i="12"/>
  <c r="BF15" i="12"/>
  <c r="BA15" i="12"/>
  <c r="AP15" i="12"/>
  <c r="AO15" i="12"/>
  <c r="AN15" i="12"/>
  <c r="AM15" i="12"/>
  <c r="AL15" i="12"/>
  <c r="AK15" i="12"/>
  <c r="N15" i="12"/>
  <c r="M15" i="12"/>
  <c r="AC15" i="12" s="1"/>
  <c r="CB14" i="12"/>
  <c r="BP14" i="12"/>
  <c r="BK14" i="12"/>
  <c r="BF14" i="12"/>
  <c r="BA14" i="12"/>
  <c r="AP14" i="12"/>
  <c r="AO14" i="12"/>
  <c r="AN14" i="12"/>
  <c r="AM14" i="12"/>
  <c r="AL14" i="12"/>
  <c r="AK14" i="12"/>
  <c r="N14" i="12"/>
  <c r="M14" i="12"/>
  <c r="AC14" i="12" s="1"/>
  <c r="CB13" i="12"/>
  <c r="BP13" i="12"/>
  <c r="BK13" i="12"/>
  <c r="BF13" i="12"/>
  <c r="BA13" i="12"/>
  <c r="AP13" i="12"/>
  <c r="AO13" i="12"/>
  <c r="AN13" i="12"/>
  <c r="AM13" i="12"/>
  <c r="AL13" i="12"/>
  <c r="AK13" i="12"/>
  <c r="N13" i="12"/>
  <c r="M13" i="12"/>
  <c r="AC13" i="12" s="1"/>
  <c r="CB12" i="12"/>
  <c r="BP12" i="12"/>
  <c r="BK12" i="12"/>
  <c r="BF12" i="12"/>
  <c r="BA12" i="12"/>
  <c r="AP12" i="12"/>
  <c r="AO12" i="12"/>
  <c r="AN12" i="12"/>
  <c r="AM12" i="12"/>
  <c r="AL12" i="12"/>
  <c r="AK12" i="12"/>
  <c r="N12" i="12"/>
  <c r="M12" i="12"/>
  <c r="AC12" i="12" s="1"/>
  <c r="CB11" i="12"/>
  <c r="BP11" i="12"/>
  <c r="BK11" i="12"/>
  <c r="BF11" i="12"/>
  <c r="BA11" i="12"/>
  <c r="AP11" i="12"/>
  <c r="AO11" i="12"/>
  <c r="AN11" i="12"/>
  <c r="AM11" i="12"/>
  <c r="AL11" i="12"/>
  <c r="AK11" i="12"/>
  <c r="N11" i="12"/>
  <c r="M11" i="12"/>
  <c r="AC11" i="12" s="1"/>
  <c r="CB10" i="12"/>
  <c r="BP10" i="12"/>
  <c r="BK10" i="12"/>
  <c r="BF10" i="12"/>
  <c r="BA10" i="12"/>
  <c r="AP10" i="12"/>
  <c r="AO10" i="12"/>
  <c r="AN10" i="12"/>
  <c r="AM10" i="12"/>
  <c r="AL10" i="12"/>
  <c r="AK10" i="12"/>
  <c r="N10" i="12"/>
  <c r="M10" i="12"/>
  <c r="AC10" i="12" s="1"/>
  <c r="CB9" i="12"/>
  <c r="BP9" i="12"/>
  <c r="BK9" i="12"/>
  <c r="BF9" i="12"/>
  <c r="BA9" i="12"/>
  <c r="AP9" i="12"/>
  <c r="AO9" i="12"/>
  <c r="AN9" i="12"/>
  <c r="AM9" i="12"/>
  <c r="AL9" i="12"/>
  <c r="AK9" i="12"/>
  <c r="N9" i="12"/>
  <c r="M9" i="12"/>
  <c r="AC9" i="12" s="1"/>
  <c r="CB8" i="12"/>
  <c r="BP8" i="12"/>
  <c r="BK8" i="12"/>
  <c r="BF8" i="12"/>
  <c r="BA8" i="12"/>
  <c r="AP8" i="12"/>
  <c r="AO8" i="12"/>
  <c r="AN8" i="12"/>
  <c r="AM8" i="12"/>
  <c r="AL8" i="12"/>
  <c r="AK8" i="12"/>
  <c r="N8" i="12"/>
  <c r="M8" i="12"/>
  <c r="AC8" i="12" s="1"/>
  <c r="CB7" i="12"/>
  <c r="BP7" i="12"/>
  <c r="BK7" i="12"/>
  <c r="BF7" i="12"/>
  <c r="BA7" i="12"/>
  <c r="AP7" i="12"/>
  <c r="AO7" i="12"/>
  <c r="AN7" i="12"/>
  <c r="AM7" i="12"/>
  <c r="AL7" i="12"/>
  <c r="AK7" i="12"/>
  <c r="N7" i="12"/>
  <c r="M7" i="12"/>
  <c r="AC7" i="12" s="1"/>
  <c r="CB6" i="12"/>
  <c r="BP6" i="12"/>
  <c r="BK6" i="12"/>
  <c r="BF6" i="12"/>
  <c r="BA6" i="12"/>
  <c r="AP6" i="12"/>
  <c r="AO6" i="12"/>
  <c r="AN6" i="12"/>
  <c r="AM6" i="12"/>
  <c r="AL6" i="12"/>
  <c r="AK6" i="12"/>
  <c r="N6" i="12"/>
  <c r="M6" i="12"/>
  <c r="AC6" i="12" s="1"/>
  <c r="CB5" i="12"/>
  <c r="BP5" i="12"/>
  <c r="BK5" i="12"/>
  <c r="BF5" i="12"/>
  <c r="BA5" i="12"/>
  <c r="AP5" i="12"/>
  <c r="AO5" i="12"/>
  <c r="AN5" i="12"/>
  <c r="AM5" i="12"/>
  <c r="AL5" i="12"/>
  <c r="AK5" i="12"/>
  <c r="N5" i="12"/>
  <c r="M5" i="12"/>
  <c r="AC5" i="12" s="1"/>
  <c r="CB4" i="12"/>
  <c r="BP4" i="12"/>
  <c r="BK4" i="12"/>
  <c r="BF4" i="12"/>
  <c r="BA4" i="12"/>
  <c r="AP4" i="12"/>
  <c r="AO4" i="12"/>
  <c r="AN4" i="12"/>
  <c r="AM4" i="12"/>
  <c r="AL4" i="12"/>
  <c r="AK4" i="12"/>
  <c r="N4" i="12"/>
  <c r="M4" i="12"/>
  <c r="AC4" i="12" s="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O16" i="11"/>
  <c r="Q16" i="11" s="1"/>
  <c r="N16" i="11"/>
  <c r="M16" i="11"/>
  <c r="O15" i="11"/>
  <c r="Q15" i="11" s="1"/>
  <c r="N15" i="11"/>
  <c r="M15" i="11"/>
  <c r="S11" i="11"/>
  <c r="S10" i="11"/>
  <c r="S9" i="11"/>
  <c r="S8" i="11"/>
  <c r="S7" i="11"/>
  <c r="S16" i="11" s="1"/>
  <c r="S5" i="11"/>
  <c r="S4" i="11"/>
  <c r="S3" i="11"/>
  <c r="S2" i="11"/>
  <c r="S15" i="11" s="1"/>
  <c r="S102" i="10"/>
  <c r="S101" i="10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O16" i="10"/>
  <c r="Q16" i="10" s="1"/>
  <c r="N16" i="10"/>
  <c r="M16" i="10"/>
  <c r="O15" i="10"/>
  <c r="Q15" i="10" s="1"/>
  <c r="N15" i="10"/>
  <c r="M15" i="10"/>
  <c r="S11" i="10"/>
  <c r="S10" i="10"/>
  <c r="S9" i="10"/>
  <c r="S8" i="10"/>
  <c r="S7" i="10"/>
  <c r="S16" i="10" s="1"/>
  <c r="S5" i="10"/>
  <c r="S4" i="10"/>
  <c r="S3" i="10"/>
  <c r="S2" i="10"/>
  <c r="S15" i="10" s="1"/>
  <c r="S102" i="9"/>
  <c r="S101" i="9"/>
  <c r="S100" i="9"/>
  <c r="S99" i="9"/>
  <c r="S98" i="9"/>
  <c r="S97" i="9"/>
  <c r="S96" i="9"/>
  <c r="S95" i="9"/>
  <c r="S94" i="9"/>
  <c r="S93" i="9"/>
  <c r="S92" i="9"/>
  <c r="S91" i="9"/>
  <c r="S90" i="9"/>
  <c r="S89" i="9"/>
  <c r="S88" i="9"/>
  <c r="S87" i="9"/>
  <c r="S86" i="9"/>
  <c r="S85" i="9"/>
  <c r="S84" i="9"/>
  <c r="S83" i="9"/>
  <c r="S82" i="9"/>
  <c r="S81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O16" i="9"/>
  <c r="Q16" i="9" s="1"/>
  <c r="N16" i="9"/>
  <c r="M16" i="9"/>
  <c r="O15" i="9"/>
  <c r="Q15" i="9" s="1"/>
  <c r="N15" i="9"/>
  <c r="M15" i="9"/>
  <c r="S10" i="9"/>
  <c r="S9" i="9"/>
  <c r="S8" i="9"/>
  <c r="S7" i="9"/>
  <c r="S16" i="9" s="1"/>
  <c r="S5" i="9"/>
  <c r="S4" i="9"/>
  <c r="S3" i="9"/>
  <c r="S2" i="9"/>
  <c r="S15" i="9" s="1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O16" i="8"/>
  <c r="Q16" i="8" s="1"/>
  <c r="N16" i="8"/>
  <c r="M16" i="8"/>
  <c r="O15" i="8"/>
  <c r="Q15" i="8" s="1"/>
  <c r="N15" i="8"/>
  <c r="M15" i="8"/>
  <c r="S10" i="8"/>
  <c r="S9" i="8"/>
  <c r="S8" i="8"/>
  <c r="S7" i="8"/>
  <c r="S16" i="8" s="1"/>
  <c r="S5" i="8"/>
  <c r="S4" i="8"/>
  <c r="S3" i="8"/>
  <c r="S2" i="8"/>
  <c r="S15" i="8" s="1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O16" i="7"/>
  <c r="Q16" i="7" s="1"/>
  <c r="N16" i="7"/>
  <c r="M16" i="7"/>
  <c r="O15" i="7"/>
  <c r="Q15" i="7" s="1"/>
  <c r="N15" i="7"/>
  <c r="M15" i="7"/>
  <c r="S11" i="7"/>
  <c r="S10" i="7"/>
  <c r="S9" i="7"/>
  <c r="S8" i="7"/>
  <c r="S7" i="7"/>
  <c r="S16" i="7" s="1"/>
  <c r="S6" i="7"/>
  <c r="S5" i="7"/>
  <c r="S4" i="7"/>
  <c r="S3" i="7"/>
  <c r="S2" i="7"/>
  <c r="S15" i="7" s="1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O16" i="6"/>
  <c r="Q16" i="6" s="1"/>
  <c r="N16" i="6"/>
  <c r="M16" i="6"/>
  <c r="O15" i="6"/>
  <c r="Q15" i="6" s="1"/>
  <c r="N15" i="6"/>
  <c r="M15" i="6"/>
  <c r="S10" i="6"/>
  <c r="S9" i="6"/>
  <c r="S8" i="6"/>
  <c r="S7" i="6"/>
  <c r="S16" i="6" s="1"/>
  <c r="S5" i="6"/>
  <c r="S4" i="6"/>
  <c r="S3" i="6"/>
  <c r="S2" i="6"/>
  <c r="S15" i="6" s="1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O16" i="5"/>
  <c r="Q16" i="5" s="1"/>
  <c r="N16" i="5"/>
  <c r="M16" i="5"/>
  <c r="O15" i="5"/>
  <c r="Q15" i="5" s="1"/>
  <c r="N15" i="5"/>
  <c r="M15" i="5"/>
  <c r="S11" i="5"/>
  <c r="S10" i="5"/>
  <c r="S9" i="5"/>
  <c r="S8" i="5"/>
  <c r="S7" i="5"/>
  <c r="S16" i="5" s="1"/>
  <c r="S4" i="5"/>
  <c r="S3" i="5"/>
  <c r="S2" i="5"/>
  <c r="S15" i="5" s="1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O16" i="4"/>
  <c r="Q16" i="4" s="1"/>
  <c r="N16" i="4"/>
  <c r="M16" i="4"/>
  <c r="O15" i="4"/>
  <c r="Q15" i="4" s="1"/>
  <c r="N15" i="4"/>
  <c r="M15" i="4"/>
  <c r="S9" i="4"/>
  <c r="S8" i="4"/>
  <c r="S7" i="4"/>
  <c r="S16" i="4" s="1"/>
  <c r="S5" i="4"/>
  <c r="S4" i="4"/>
  <c r="S3" i="4"/>
  <c r="S2" i="4"/>
  <c r="S15" i="4" s="1"/>
  <c r="F102" i="3"/>
  <c r="M101" i="3"/>
  <c r="L101" i="3"/>
  <c r="T85" i="3"/>
  <c r="I85" i="3"/>
  <c r="T84" i="3"/>
  <c r="I84" i="3"/>
  <c r="T83" i="3"/>
  <c r="I83" i="3"/>
  <c r="T82" i="3"/>
  <c r="I82" i="3"/>
  <c r="T81" i="3"/>
  <c r="I81" i="3"/>
  <c r="T80" i="3"/>
  <c r="I80" i="3"/>
  <c r="T79" i="3"/>
  <c r="I79" i="3"/>
  <c r="T78" i="3"/>
  <c r="I78" i="3"/>
  <c r="T77" i="3"/>
  <c r="I77" i="3"/>
  <c r="T76" i="3"/>
  <c r="I76" i="3"/>
  <c r="T75" i="3"/>
  <c r="I75" i="3"/>
  <c r="T74" i="3"/>
  <c r="I74" i="3"/>
  <c r="T73" i="3"/>
  <c r="I73" i="3"/>
  <c r="T72" i="3"/>
  <c r="I72" i="3"/>
  <c r="T71" i="3"/>
  <c r="I71" i="3"/>
  <c r="T70" i="3"/>
  <c r="I70" i="3"/>
  <c r="T69" i="3"/>
  <c r="I69" i="3"/>
  <c r="T68" i="3"/>
  <c r="I68" i="3"/>
  <c r="T67" i="3"/>
  <c r="I67" i="3"/>
  <c r="T66" i="3"/>
  <c r="I66" i="3"/>
  <c r="T65" i="3"/>
  <c r="I65" i="3"/>
  <c r="T64" i="3"/>
  <c r="I64" i="3"/>
  <c r="T63" i="3"/>
  <c r="I63" i="3"/>
  <c r="T62" i="3"/>
  <c r="I62" i="3"/>
  <c r="T61" i="3"/>
  <c r="I61" i="3"/>
  <c r="T60" i="3"/>
  <c r="I60" i="3"/>
  <c r="T59" i="3"/>
  <c r="I59" i="3"/>
  <c r="T58" i="3"/>
  <c r="I58" i="3"/>
  <c r="T57" i="3"/>
  <c r="I57" i="3"/>
  <c r="T56" i="3"/>
  <c r="I56" i="3"/>
  <c r="T55" i="3"/>
  <c r="I55" i="3"/>
  <c r="T54" i="3"/>
  <c r="I54" i="3"/>
  <c r="T53" i="3"/>
  <c r="I53" i="3"/>
  <c r="T52" i="3"/>
  <c r="I52" i="3"/>
  <c r="T51" i="3"/>
  <c r="I51" i="3"/>
  <c r="T50" i="3"/>
  <c r="I50" i="3"/>
  <c r="T49" i="3"/>
  <c r="I49" i="3"/>
  <c r="T48" i="3"/>
  <c r="I48" i="3"/>
  <c r="T47" i="3"/>
  <c r="I47" i="3"/>
  <c r="T46" i="3"/>
  <c r="I46" i="3"/>
  <c r="T45" i="3"/>
  <c r="I45" i="3"/>
  <c r="T44" i="3"/>
  <c r="I44" i="3"/>
  <c r="T43" i="3"/>
  <c r="I43" i="3"/>
  <c r="T42" i="3"/>
  <c r="I42" i="3"/>
  <c r="T41" i="3"/>
  <c r="I41" i="3"/>
  <c r="T40" i="3"/>
  <c r="I40" i="3"/>
  <c r="T39" i="3"/>
  <c r="I39" i="3"/>
  <c r="T38" i="3"/>
  <c r="I38" i="3"/>
  <c r="T37" i="3"/>
  <c r="I37" i="3"/>
  <c r="T36" i="3"/>
  <c r="I36" i="3"/>
  <c r="T35" i="3"/>
  <c r="I35" i="3"/>
  <c r="T34" i="3"/>
  <c r="I34" i="3"/>
  <c r="T33" i="3"/>
  <c r="I33" i="3"/>
  <c r="T32" i="3"/>
  <c r="I32" i="3"/>
  <c r="T31" i="3"/>
  <c r="I31" i="3"/>
  <c r="T30" i="3"/>
  <c r="I30" i="3"/>
  <c r="T29" i="3"/>
  <c r="I29" i="3"/>
  <c r="T28" i="3"/>
  <c r="I28" i="3"/>
  <c r="T27" i="3"/>
  <c r="I27" i="3"/>
  <c r="T26" i="3"/>
  <c r="I26" i="3"/>
  <c r="T25" i="3"/>
  <c r="I25" i="3"/>
  <c r="T24" i="3"/>
  <c r="I24" i="3"/>
  <c r="T23" i="3"/>
  <c r="I23" i="3"/>
  <c r="T22" i="3"/>
  <c r="I22" i="3"/>
  <c r="T21" i="3"/>
  <c r="I21" i="3"/>
  <c r="T20" i="3"/>
  <c r="I20" i="3"/>
  <c r="T19" i="3"/>
  <c r="I19" i="3"/>
  <c r="T18" i="3"/>
  <c r="I18" i="3"/>
  <c r="T17" i="3"/>
  <c r="I17" i="3"/>
  <c r="T16" i="3"/>
  <c r="I16" i="3"/>
  <c r="T15" i="3"/>
  <c r="I15" i="3"/>
  <c r="T14" i="3"/>
  <c r="I14" i="3"/>
  <c r="T13" i="3"/>
  <c r="I13" i="3"/>
  <c r="T12" i="3"/>
  <c r="I12" i="3"/>
  <c r="T11" i="3"/>
  <c r="I11" i="3"/>
  <c r="T10" i="3"/>
  <c r="I10" i="3"/>
  <c r="T9" i="3"/>
  <c r="I9" i="3"/>
  <c r="T8" i="3"/>
  <c r="I8" i="3"/>
  <c r="T7" i="3"/>
  <c r="I7" i="3"/>
  <c r="T6" i="3"/>
  <c r="I6" i="3"/>
  <c r="T5" i="3"/>
  <c r="I5" i="3"/>
  <c r="T4" i="3"/>
  <c r="I4" i="3"/>
  <c r="T3" i="3"/>
  <c r="I3" i="3"/>
  <c r="T2" i="3"/>
  <c r="I2" i="3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O16" i="2"/>
  <c r="Q16" i="2" s="1"/>
  <c r="N16" i="2"/>
  <c r="M16" i="2"/>
  <c r="O15" i="2"/>
  <c r="Q15" i="2" s="1"/>
  <c r="N15" i="2"/>
  <c r="M15" i="2"/>
  <c r="S9" i="2"/>
  <c r="S8" i="2"/>
  <c r="S7" i="2"/>
  <c r="S16" i="2" s="1"/>
  <c r="S4" i="2"/>
  <c r="S3" i="2"/>
  <c r="S2" i="2"/>
  <c r="S15" i="2" s="1"/>
  <c r="F10" i="1"/>
  <c r="F9" i="1"/>
  <c r="F8" i="1"/>
  <c r="F7" i="1"/>
  <c r="F6" i="1"/>
  <c r="F5" i="1"/>
  <c r="F4" i="1"/>
  <c r="F3" i="1"/>
  <c r="F2" i="1"/>
  <c r="K2" i="1" l="1"/>
  <c r="I2" i="1"/>
  <c r="K3" i="1"/>
  <c r="I3" i="1"/>
  <c r="K4" i="1"/>
  <c r="I4" i="1"/>
  <c r="K5" i="1"/>
  <c r="I5" i="1"/>
  <c r="K6" i="1"/>
  <c r="I6" i="1"/>
  <c r="K7" i="1"/>
  <c r="I7" i="1"/>
  <c r="K8" i="1"/>
  <c r="I8" i="1"/>
  <c r="K9" i="1"/>
  <c r="I9" i="1"/>
  <c r="K10" i="1"/>
  <c r="I10" i="1"/>
  <c r="T102" i="2"/>
  <c r="U102" i="2" s="1"/>
  <c r="Q102" i="2"/>
  <c r="T101" i="2"/>
  <c r="U101" i="2" s="1"/>
  <c r="Q101" i="2"/>
  <c r="T100" i="2"/>
  <c r="U100" i="2" s="1"/>
  <c r="Q100" i="2"/>
  <c r="T99" i="2"/>
  <c r="U99" i="2" s="1"/>
  <c r="Q99" i="2"/>
  <c r="T98" i="2"/>
  <c r="U98" i="2" s="1"/>
  <c r="Q98" i="2"/>
  <c r="T97" i="2"/>
  <c r="U97" i="2" s="1"/>
  <c r="Q97" i="2"/>
  <c r="T96" i="2"/>
  <c r="U96" i="2" s="1"/>
  <c r="Q96" i="2"/>
  <c r="T95" i="2"/>
  <c r="U95" i="2" s="1"/>
  <c r="Q95" i="2"/>
  <c r="T94" i="2"/>
  <c r="U94" i="2" s="1"/>
  <c r="Q94" i="2"/>
  <c r="T93" i="2"/>
  <c r="U93" i="2" s="1"/>
  <c r="Q93" i="2"/>
  <c r="T92" i="2"/>
  <c r="U92" i="2" s="1"/>
  <c r="Q92" i="2"/>
  <c r="T91" i="2"/>
  <c r="U91" i="2" s="1"/>
  <c r="Q91" i="2"/>
  <c r="T90" i="2"/>
  <c r="U90" i="2" s="1"/>
  <c r="Q90" i="2"/>
  <c r="T89" i="2"/>
  <c r="U89" i="2" s="1"/>
  <c r="Q89" i="2"/>
  <c r="T88" i="2"/>
  <c r="U88" i="2" s="1"/>
  <c r="Q88" i="2"/>
  <c r="T87" i="2"/>
  <c r="U87" i="2" s="1"/>
  <c r="Q87" i="2"/>
  <c r="T86" i="2"/>
  <c r="U86" i="2" s="1"/>
  <c r="Q86" i="2"/>
  <c r="T85" i="2"/>
  <c r="U85" i="2" s="1"/>
  <c r="Q85" i="2"/>
  <c r="T84" i="2"/>
  <c r="U84" i="2" s="1"/>
  <c r="Q84" i="2"/>
  <c r="T83" i="2"/>
  <c r="U83" i="2" s="1"/>
  <c r="Q83" i="2"/>
  <c r="T82" i="2"/>
  <c r="U82" i="2" s="1"/>
  <c r="Q82" i="2"/>
  <c r="T81" i="2"/>
  <c r="U81" i="2" s="1"/>
  <c r="Q81" i="2"/>
  <c r="T80" i="2"/>
  <c r="U80" i="2" s="1"/>
  <c r="Q80" i="2"/>
  <c r="T79" i="2"/>
  <c r="U79" i="2" s="1"/>
  <c r="Q79" i="2"/>
  <c r="T78" i="2"/>
  <c r="U78" i="2" s="1"/>
  <c r="Q78" i="2"/>
  <c r="T77" i="2"/>
  <c r="U77" i="2" s="1"/>
  <c r="Q77" i="2"/>
  <c r="T76" i="2"/>
  <c r="U76" i="2" s="1"/>
  <c r="Q76" i="2"/>
  <c r="T75" i="2"/>
  <c r="U75" i="2" s="1"/>
  <c r="Q75" i="2"/>
  <c r="T74" i="2"/>
  <c r="U74" i="2" s="1"/>
  <c r="Q74" i="2"/>
  <c r="T73" i="2"/>
  <c r="U73" i="2" s="1"/>
  <c r="Q73" i="2"/>
  <c r="T72" i="2"/>
  <c r="U72" i="2" s="1"/>
  <c r="Q72" i="2"/>
  <c r="T71" i="2"/>
  <c r="U71" i="2" s="1"/>
  <c r="Q71" i="2"/>
  <c r="T70" i="2"/>
  <c r="U70" i="2" s="1"/>
  <c r="Q70" i="2"/>
  <c r="T69" i="2"/>
  <c r="U69" i="2" s="1"/>
  <c r="Q69" i="2"/>
  <c r="T68" i="2"/>
  <c r="U68" i="2" s="1"/>
  <c r="Q68" i="2"/>
  <c r="T67" i="2"/>
  <c r="U67" i="2" s="1"/>
  <c r="Q67" i="2"/>
  <c r="T66" i="2"/>
  <c r="U66" i="2" s="1"/>
  <c r="Q66" i="2"/>
  <c r="T65" i="2"/>
  <c r="U65" i="2" s="1"/>
  <c r="Q65" i="2"/>
  <c r="T64" i="2"/>
  <c r="U64" i="2" s="1"/>
  <c r="Q64" i="2"/>
  <c r="T63" i="2"/>
  <c r="U63" i="2" s="1"/>
  <c r="Q63" i="2"/>
  <c r="T62" i="2"/>
  <c r="U62" i="2" s="1"/>
  <c r="Q62" i="2"/>
  <c r="T61" i="2"/>
  <c r="U61" i="2" s="1"/>
  <c r="Q61" i="2"/>
  <c r="T60" i="2"/>
  <c r="U60" i="2" s="1"/>
  <c r="Q60" i="2"/>
  <c r="T59" i="2"/>
  <c r="U59" i="2" s="1"/>
  <c r="Q59" i="2"/>
  <c r="T58" i="2"/>
  <c r="U58" i="2" s="1"/>
  <c r="Q58" i="2"/>
  <c r="T57" i="2"/>
  <c r="U57" i="2" s="1"/>
  <c r="Q57" i="2"/>
  <c r="T56" i="2"/>
  <c r="U56" i="2" s="1"/>
  <c r="Q56" i="2"/>
  <c r="T55" i="2"/>
  <c r="U55" i="2" s="1"/>
  <c r="Q55" i="2"/>
  <c r="T54" i="2"/>
  <c r="U54" i="2" s="1"/>
  <c r="Q54" i="2"/>
  <c r="T53" i="2"/>
  <c r="U53" i="2" s="1"/>
  <c r="Q53" i="2"/>
  <c r="T52" i="2"/>
  <c r="U52" i="2" s="1"/>
  <c r="Q52" i="2"/>
  <c r="T51" i="2"/>
  <c r="U51" i="2" s="1"/>
  <c r="Q51" i="2"/>
  <c r="T50" i="2"/>
  <c r="U50" i="2" s="1"/>
  <c r="Q50" i="2"/>
  <c r="T49" i="2"/>
  <c r="U49" i="2" s="1"/>
  <c r="Q49" i="2"/>
  <c r="T48" i="2"/>
  <c r="U48" i="2" s="1"/>
  <c r="Q48" i="2"/>
  <c r="T47" i="2"/>
  <c r="U47" i="2" s="1"/>
  <c r="Q47" i="2"/>
  <c r="T46" i="2"/>
  <c r="U46" i="2" s="1"/>
  <c r="Q46" i="2"/>
  <c r="T45" i="2"/>
  <c r="U45" i="2" s="1"/>
  <c r="Q45" i="2"/>
  <c r="T44" i="2"/>
  <c r="U44" i="2" s="1"/>
  <c r="Q44" i="2"/>
  <c r="T43" i="2"/>
  <c r="U43" i="2" s="1"/>
  <c r="Q43" i="2"/>
  <c r="T42" i="2"/>
  <c r="U42" i="2" s="1"/>
  <c r="Q42" i="2"/>
  <c r="T41" i="2"/>
  <c r="U41" i="2" s="1"/>
  <c r="Q41" i="2"/>
  <c r="T40" i="2"/>
  <c r="U40" i="2" s="1"/>
  <c r="Q40" i="2"/>
  <c r="T39" i="2"/>
  <c r="U39" i="2" s="1"/>
  <c r="Q39" i="2"/>
  <c r="T38" i="2"/>
  <c r="U38" i="2" s="1"/>
  <c r="Q38" i="2"/>
  <c r="T37" i="2"/>
  <c r="U37" i="2" s="1"/>
  <c r="Q37" i="2"/>
  <c r="T36" i="2"/>
  <c r="U36" i="2" s="1"/>
  <c r="Q36" i="2"/>
  <c r="T35" i="2"/>
  <c r="U35" i="2" s="1"/>
  <c r="Q35" i="2"/>
  <c r="T34" i="2"/>
  <c r="U34" i="2" s="1"/>
  <c r="Q34" i="2"/>
  <c r="T33" i="2"/>
  <c r="U33" i="2" s="1"/>
  <c r="Q33" i="2"/>
  <c r="T32" i="2"/>
  <c r="U32" i="2" s="1"/>
  <c r="Q32" i="2"/>
  <c r="T31" i="2"/>
  <c r="U31" i="2" s="1"/>
  <c r="Q31" i="2"/>
  <c r="T30" i="2"/>
  <c r="U30" i="2" s="1"/>
  <c r="Q30" i="2"/>
  <c r="T29" i="2"/>
  <c r="U29" i="2" s="1"/>
  <c r="Q29" i="2"/>
  <c r="T28" i="2"/>
  <c r="U28" i="2" s="1"/>
  <c r="Q28" i="2"/>
  <c r="T27" i="2"/>
  <c r="U27" i="2" s="1"/>
  <c r="Q27" i="2"/>
  <c r="T26" i="2"/>
  <c r="U26" i="2" s="1"/>
  <c r="Q26" i="2"/>
  <c r="T25" i="2"/>
  <c r="U25" i="2" s="1"/>
  <c r="Q25" i="2"/>
  <c r="T24" i="2"/>
  <c r="U24" i="2" s="1"/>
  <c r="Q24" i="2"/>
  <c r="T23" i="2"/>
  <c r="U23" i="2" s="1"/>
  <c r="Q23" i="2"/>
  <c r="T22" i="2"/>
  <c r="U22" i="2" s="1"/>
  <c r="Q22" i="2"/>
  <c r="T21" i="2"/>
  <c r="U21" i="2" s="1"/>
  <c r="Q21" i="2"/>
  <c r="T20" i="2"/>
  <c r="U20" i="2" s="1"/>
  <c r="Q20" i="2"/>
  <c r="T19" i="2"/>
  <c r="U19" i="2" s="1"/>
  <c r="Q19" i="2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T102" i="4"/>
  <c r="U102" i="4" s="1"/>
  <c r="Q102" i="4"/>
  <c r="T101" i="4"/>
  <c r="U101" i="4" s="1"/>
  <c r="Q101" i="4"/>
  <c r="T100" i="4"/>
  <c r="U100" i="4" s="1"/>
  <c r="Q100" i="4"/>
  <c r="T99" i="4"/>
  <c r="U99" i="4" s="1"/>
  <c r="Q99" i="4"/>
  <c r="T98" i="4"/>
  <c r="U98" i="4" s="1"/>
  <c r="Q98" i="4"/>
  <c r="T97" i="4"/>
  <c r="U97" i="4" s="1"/>
  <c r="Q97" i="4"/>
  <c r="T96" i="4"/>
  <c r="U96" i="4" s="1"/>
  <c r="Q96" i="4"/>
  <c r="T95" i="4"/>
  <c r="U95" i="4" s="1"/>
  <c r="Q95" i="4"/>
  <c r="T94" i="4"/>
  <c r="U94" i="4" s="1"/>
  <c r="Q94" i="4"/>
  <c r="T93" i="4"/>
  <c r="U93" i="4" s="1"/>
  <c r="Q93" i="4"/>
  <c r="T92" i="4"/>
  <c r="U92" i="4" s="1"/>
  <c r="Q92" i="4"/>
  <c r="T91" i="4"/>
  <c r="U91" i="4" s="1"/>
  <c r="Q91" i="4"/>
  <c r="T90" i="4"/>
  <c r="U90" i="4" s="1"/>
  <c r="Q90" i="4"/>
  <c r="T89" i="4"/>
  <c r="U89" i="4" s="1"/>
  <c r="Q89" i="4"/>
  <c r="T88" i="4"/>
  <c r="U88" i="4" s="1"/>
  <c r="Q88" i="4"/>
  <c r="T87" i="4"/>
  <c r="U87" i="4" s="1"/>
  <c r="Q87" i="4"/>
  <c r="T86" i="4"/>
  <c r="U86" i="4" s="1"/>
  <c r="Q86" i="4"/>
  <c r="T85" i="4"/>
  <c r="U85" i="4" s="1"/>
  <c r="Q85" i="4"/>
  <c r="T84" i="4"/>
  <c r="U84" i="4" s="1"/>
  <c r="Q84" i="4"/>
  <c r="T83" i="4"/>
  <c r="U83" i="4" s="1"/>
  <c r="Q83" i="4"/>
  <c r="T82" i="4"/>
  <c r="U82" i="4" s="1"/>
  <c r="Q82" i="4"/>
  <c r="T81" i="4"/>
  <c r="U81" i="4" s="1"/>
  <c r="Q81" i="4"/>
  <c r="T80" i="4"/>
  <c r="U80" i="4" s="1"/>
  <c r="Q80" i="4"/>
  <c r="T79" i="4"/>
  <c r="U79" i="4" s="1"/>
  <c r="Q79" i="4"/>
  <c r="T78" i="4"/>
  <c r="U78" i="4" s="1"/>
  <c r="Q78" i="4"/>
  <c r="T77" i="4"/>
  <c r="U77" i="4" s="1"/>
  <c r="Q77" i="4"/>
  <c r="T76" i="4"/>
  <c r="U76" i="4" s="1"/>
  <c r="Q76" i="4"/>
  <c r="T75" i="4"/>
  <c r="U75" i="4" s="1"/>
  <c r="Q75" i="4"/>
  <c r="T74" i="4"/>
  <c r="U74" i="4" s="1"/>
  <c r="Q74" i="4"/>
  <c r="T73" i="4"/>
  <c r="U73" i="4" s="1"/>
  <c r="Q73" i="4"/>
  <c r="T72" i="4"/>
  <c r="U72" i="4" s="1"/>
  <c r="Q72" i="4"/>
  <c r="T71" i="4"/>
  <c r="U71" i="4" s="1"/>
  <c r="Q71" i="4"/>
  <c r="T70" i="4"/>
  <c r="U70" i="4" s="1"/>
  <c r="Q70" i="4"/>
  <c r="T69" i="4"/>
  <c r="U69" i="4" s="1"/>
  <c r="Q69" i="4"/>
  <c r="T68" i="4"/>
  <c r="U68" i="4" s="1"/>
  <c r="Q68" i="4"/>
  <c r="T67" i="4"/>
  <c r="U67" i="4" s="1"/>
  <c r="Q67" i="4"/>
  <c r="T66" i="4"/>
  <c r="U66" i="4" s="1"/>
  <c r="Q66" i="4"/>
  <c r="T65" i="4"/>
  <c r="U65" i="4" s="1"/>
  <c r="Q65" i="4"/>
  <c r="T64" i="4"/>
  <c r="U64" i="4" s="1"/>
  <c r="Q64" i="4"/>
  <c r="T63" i="4"/>
  <c r="U63" i="4" s="1"/>
  <c r="Q63" i="4"/>
  <c r="T62" i="4"/>
  <c r="U62" i="4" s="1"/>
  <c r="Q62" i="4"/>
  <c r="T61" i="4"/>
  <c r="U61" i="4" s="1"/>
  <c r="Q61" i="4"/>
  <c r="T60" i="4"/>
  <c r="U60" i="4" s="1"/>
  <c r="Q60" i="4"/>
  <c r="T59" i="4"/>
  <c r="U59" i="4" s="1"/>
  <c r="Q59" i="4"/>
  <c r="T58" i="4"/>
  <c r="U58" i="4" s="1"/>
  <c r="Q58" i="4"/>
  <c r="T57" i="4"/>
  <c r="U57" i="4" s="1"/>
  <c r="Q57" i="4"/>
  <c r="T56" i="4"/>
  <c r="U56" i="4" s="1"/>
  <c r="Q56" i="4"/>
  <c r="T55" i="4"/>
  <c r="U55" i="4" s="1"/>
  <c r="Q55" i="4"/>
  <c r="T54" i="4"/>
  <c r="U54" i="4" s="1"/>
  <c r="Q54" i="4"/>
  <c r="T53" i="4"/>
  <c r="U53" i="4" s="1"/>
  <c r="Q53" i="4"/>
  <c r="T52" i="4"/>
  <c r="U52" i="4" s="1"/>
  <c r="Q52" i="4"/>
  <c r="T51" i="4"/>
  <c r="U51" i="4" s="1"/>
  <c r="Q51" i="4"/>
  <c r="T50" i="4"/>
  <c r="U50" i="4" s="1"/>
  <c r="Q50" i="4"/>
  <c r="T49" i="4"/>
  <c r="U49" i="4" s="1"/>
  <c r="Q49" i="4"/>
  <c r="T48" i="4"/>
  <c r="U48" i="4" s="1"/>
  <c r="Q48" i="4"/>
  <c r="T47" i="4"/>
  <c r="U47" i="4" s="1"/>
  <c r="Q47" i="4"/>
  <c r="T46" i="4"/>
  <c r="U46" i="4" s="1"/>
  <c r="Q46" i="4"/>
  <c r="T45" i="4"/>
  <c r="U45" i="4" s="1"/>
  <c r="Q45" i="4"/>
  <c r="T44" i="4"/>
  <c r="U44" i="4" s="1"/>
  <c r="Q44" i="4"/>
  <c r="T43" i="4"/>
  <c r="U43" i="4" s="1"/>
  <c r="Q43" i="4"/>
  <c r="T42" i="4"/>
  <c r="U42" i="4" s="1"/>
  <c r="Q42" i="4"/>
  <c r="T41" i="4"/>
  <c r="U41" i="4" s="1"/>
  <c r="Q41" i="4"/>
  <c r="T40" i="4"/>
  <c r="U40" i="4" s="1"/>
  <c r="Q40" i="4"/>
  <c r="T39" i="4"/>
  <c r="U39" i="4" s="1"/>
  <c r="Q39" i="4"/>
  <c r="T38" i="4"/>
  <c r="U38" i="4" s="1"/>
  <c r="Q38" i="4"/>
  <c r="T37" i="4"/>
  <c r="U37" i="4" s="1"/>
  <c r="Q37" i="4"/>
  <c r="T36" i="4"/>
  <c r="U36" i="4" s="1"/>
  <c r="Q36" i="4"/>
  <c r="T35" i="4"/>
  <c r="U35" i="4" s="1"/>
  <c r="Q35" i="4"/>
  <c r="T34" i="4"/>
  <c r="U34" i="4" s="1"/>
  <c r="Q34" i="4"/>
  <c r="T33" i="4"/>
  <c r="U33" i="4" s="1"/>
  <c r="Q33" i="4"/>
  <c r="T32" i="4"/>
  <c r="U32" i="4" s="1"/>
  <c r="Q32" i="4"/>
  <c r="T31" i="4"/>
  <c r="U31" i="4" s="1"/>
  <c r="Q31" i="4"/>
  <c r="T30" i="4"/>
  <c r="U30" i="4" s="1"/>
  <c r="Q30" i="4"/>
  <c r="T29" i="4"/>
  <c r="U29" i="4" s="1"/>
  <c r="Q29" i="4"/>
  <c r="T28" i="4"/>
  <c r="U28" i="4" s="1"/>
  <c r="Q28" i="4"/>
  <c r="T27" i="4"/>
  <c r="U27" i="4" s="1"/>
  <c r="Q27" i="4"/>
  <c r="T26" i="4"/>
  <c r="U26" i="4" s="1"/>
  <c r="Q26" i="4"/>
  <c r="T25" i="4"/>
  <c r="U25" i="4" s="1"/>
  <c r="Q25" i="4"/>
  <c r="T24" i="4"/>
  <c r="U24" i="4" s="1"/>
  <c r="Q24" i="4"/>
  <c r="T23" i="4"/>
  <c r="U23" i="4" s="1"/>
  <c r="Q23" i="4"/>
  <c r="T22" i="4"/>
  <c r="U22" i="4" s="1"/>
  <c r="Q22" i="4"/>
  <c r="T21" i="4"/>
  <c r="U21" i="4" s="1"/>
  <c r="Q21" i="4"/>
  <c r="T20" i="4"/>
  <c r="U20" i="4" s="1"/>
  <c r="Q20" i="4"/>
  <c r="T19" i="4"/>
  <c r="U19" i="4" s="1"/>
  <c r="Q19" i="4"/>
  <c r="T102" i="5"/>
  <c r="U102" i="5" s="1"/>
  <c r="Q102" i="5"/>
  <c r="T101" i="5"/>
  <c r="U101" i="5" s="1"/>
  <c r="Q101" i="5"/>
  <c r="T100" i="5"/>
  <c r="U100" i="5" s="1"/>
  <c r="Q100" i="5"/>
  <c r="T99" i="5"/>
  <c r="U99" i="5" s="1"/>
  <c r="Q99" i="5"/>
  <c r="T98" i="5"/>
  <c r="U98" i="5" s="1"/>
  <c r="Q98" i="5"/>
  <c r="T97" i="5"/>
  <c r="U97" i="5" s="1"/>
  <c r="Q97" i="5"/>
  <c r="T96" i="5"/>
  <c r="U96" i="5" s="1"/>
  <c r="Q96" i="5"/>
  <c r="T95" i="5"/>
  <c r="U95" i="5" s="1"/>
  <c r="Q95" i="5"/>
  <c r="T94" i="5"/>
  <c r="U94" i="5" s="1"/>
  <c r="Q94" i="5"/>
  <c r="T93" i="5"/>
  <c r="U93" i="5" s="1"/>
  <c r="Q93" i="5"/>
  <c r="T92" i="5"/>
  <c r="U92" i="5" s="1"/>
  <c r="Q92" i="5"/>
  <c r="T91" i="5"/>
  <c r="U91" i="5" s="1"/>
  <c r="Q91" i="5"/>
  <c r="T90" i="5"/>
  <c r="U90" i="5" s="1"/>
  <c r="Q90" i="5"/>
  <c r="T89" i="5"/>
  <c r="U89" i="5" s="1"/>
  <c r="Q89" i="5"/>
  <c r="T88" i="5"/>
  <c r="U88" i="5" s="1"/>
  <c r="Q88" i="5"/>
  <c r="T87" i="5"/>
  <c r="U87" i="5" s="1"/>
  <c r="Q87" i="5"/>
  <c r="T86" i="5"/>
  <c r="U86" i="5" s="1"/>
  <c r="Q86" i="5"/>
  <c r="T85" i="5"/>
  <c r="U85" i="5" s="1"/>
  <c r="Q85" i="5"/>
  <c r="T84" i="5"/>
  <c r="U84" i="5" s="1"/>
  <c r="Q84" i="5"/>
  <c r="T83" i="5"/>
  <c r="U83" i="5" s="1"/>
  <c r="Q83" i="5"/>
  <c r="T82" i="5"/>
  <c r="U82" i="5" s="1"/>
  <c r="Q82" i="5"/>
  <c r="T81" i="5"/>
  <c r="U81" i="5" s="1"/>
  <c r="Q81" i="5"/>
  <c r="T80" i="5"/>
  <c r="U80" i="5" s="1"/>
  <c r="Q80" i="5"/>
  <c r="T79" i="5"/>
  <c r="U79" i="5" s="1"/>
  <c r="Q79" i="5"/>
  <c r="T78" i="5"/>
  <c r="U78" i="5" s="1"/>
  <c r="Q78" i="5"/>
  <c r="T77" i="5"/>
  <c r="U77" i="5" s="1"/>
  <c r="Q77" i="5"/>
  <c r="T76" i="5"/>
  <c r="U76" i="5" s="1"/>
  <c r="Q76" i="5"/>
  <c r="T75" i="5"/>
  <c r="U75" i="5" s="1"/>
  <c r="Q75" i="5"/>
  <c r="T74" i="5"/>
  <c r="U74" i="5" s="1"/>
  <c r="Q74" i="5"/>
  <c r="T73" i="5"/>
  <c r="U73" i="5" s="1"/>
  <c r="Q73" i="5"/>
  <c r="T72" i="5"/>
  <c r="U72" i="5" s="1"/>
  <c r="Q72" i="5"/>
  <c r="T71" i="5"/>
  <c r="U71" i="5" s="1"/>
  <c r="Q71" i="5"/>
  <c r="T70" i="5"/>
  <c r="U70" i="5" s="1"/>
  <c r="Q70" i="5"/>
  <c r="T69" i="5"/>
  <c r="U69" i="5" s="1"/>
  <c r="Q69" i="5"/>
  <c r="T68" i="5"/>
  <c r="U68" i="5" s="1"/>
  <c r="Q68" i="5"/>
  <c r="T67" i="5"/>
  <c r="U67" i="5" s="1"/>
  <c r="Q67" i="5"/>
  <c r="T66" i="5"/>
  <c r="U66" i="5" s="1"/>
  <c r="Q66" i="5"/>
  <c r="T65" i="5"/>
  <c r="U65" i="5" s="1"/>
  <c r="Q65" i="5"/>
  <c r="T64" i="5"/>
  <c r="U64" i="5" s="1"/>
  <c r="Q64" i="5"/>
  <c r="T63" i="5"/>
  <c r="U63" i="5" s="1"/>
  <c r="Q63" i="5"/>
  <c r="T62" i="5"/>
  <c r="U62" i="5" s="1"/>
  <c r="Q62" i="5"/>
  <c r="T61" i="5"/>
  <c r="U61" i="5" s="1"/>
  <c r="Q61" i="5"/>
  <c r="T60" i="5"/>
  <c r="U60" i="5" s="1"/>
  <c r="Q60" i="5"/>
  <c r="T59" i="5"/>
  <c r="U59" i="5" s="1"/>
  <c r="Q59" i="5"/>
  <c r="T58" i="5"/>
  <c r="U58" i="5" s="1"/>
  <c r="Q58" i="5"/>
  <c r="T57" i="5"/>
  <c r="U57" i="5" s="1"/>
  <c r="Q57" i="5"/>
  <c r="T56" i="5"/>
  <c r="U56" i="5" s="1"/>
  <c r="Q56" i="5"/>
  <c r="T55" i="5"/>
  <c r="U55" i="5" s="1"/>
  <c r="Q55" i="5"/>
  <c r="T54" i="5"/>
  <c r="U54" i="5" s="1"/>
  <c r="Q54" i="5"/>
  <c r="T53" i="5"/>
  <c r="U53" i="5" s="1"/>
  <c r="Q53" i="5"/>
  <c r="T52" i="5"/>
  <c r="U52" i="5" s="1"/>
  <c r="Q52" i="5"/>
  <c r="T51" i="5"/>
  <c r="U51" i="5" s="1"/>
  <c r="Q51" i="5"/>
  <c r="T50" i="5"/>
  <c r="U50" i="5" s="1"/>
  <c r="Q50" i="5"/>
  <c r="T49" i="5"/>
  <c r="U49" i="5" s="1"/>
  <c r="Q49" i="5"/>
  <c r="T48" i="5"/>
  <c r="U48" i="5" s="1"/>
  <c r="Q48" i="5"/>
  <c r="T47" i="5"/>
  <c r="U47" i="5" s="1"/>
  <c r="Q47" i="5"/>
  <c r="T46" i="5"/>
  <c r="U46" i="5" s="1"/>
  <c r="Q46" i="5"/>
  <c r="T45" i="5"/>
  <c r="U45" i="5" s="1"/>
  <c r="Q45" i="5"/>
  <c r="T44" i="5"/>
  <c r="U44" i="5" s="1"/>
  <c r="Q44" i="5"/>
  <c r="T43" i="5"/>
  <c r="U43" i="5" s="1"/>
  <c r="Q43" i="5"/>
  <c r="T42" i="5"/>
  <c r="U42" i="5" s="1"/>
  <c r="Q42" i="5"/>
  <c r="T41" i="5"/>
  <c r="U41" i="5" s="1"/>
  <c r="Q41" i="5"/>
  <c r="T40" i="5"/>
  <c r="U40" i="5" s="1"/>
  <c r="Q40" i="5"/>
  <c r="T39" i="5"/>
  <c r="U39" i="5" s="1"/>
  <c r="Q39" i="5"/>
  <c r="T38" i="5"/>
  <c r="U38" i="5" s="1"/>
  <c r="Q38" i="5"/>
  <c r="T37" i="5"/>
  <c r="U37" i="5" s="1"/>
  <c r="Q37" i="5"/>
  <c r="T36" i="5"/>
  <c r="U36" i="5" s="1"/>
  <c r="Q36" i="5"/>
  <c r="T35" i="5"/>
  <c r="U35" i="5" s="1"/>
  <c r="Q35" i="5"/>
  <c r="T34" i="5"/>
  <c r="U34" i="5" s="1"/>
  <c r="Q34" i="5"/>
  <c r="T33" i="5"/>
  <c r="U33" i="5" s="1"/>
  <c r="Q33" i="5"/>
  <c r="T32" i="5"/>
  <c r="U32" i="5" s="1"/>
  <c r="Q32" i="5"/>
  <c r="T31" i="5"/>
  <c r="U31" i="5" s="1"/>
  <c r="Q31" i="5"/>
  <c r="T30" i="5"/>
  <c r="U30" i="5" s="1"/>
  <c r="Q30" i="5"/>
  <c r="T29" i="5"/>
  <c r="U29" i="5" s="1"/>
  <c r="Q29" i="5"/>
  <c r="T28" i="5"/>
  <c r="U28" i="5" s="1"/>
  <c r="Q28" i="5"/>
  <c r="T27" i="5"/>
  <c r="U27" i="5" s="1"/>
  <c r="Q27" i="5"/>
  <c r="T26" i="5"/>
  <c r="U26" i="5" s="1"/>
  <c r="Q26" i="5"/>
  <c r="T25" i="5"/>
  <c r="U25" i="5" s="1"/>
  <c r="Q25" i="5"/>
  <c r="T24" i="5"/>
  <c r="U24" i="5" s="1"/>
  <c r="Q24" i="5"/>
  <c r="T23" i="5"/>
  <c r="U23" i="5" s="1"/>
  <c r="Q23" i="5"/>
  <c r="T22" i="5"/>
  <c r="U22" i="5" s="1"/>
  <c r="Q22" i="5"/>
  <c r="T21" i="5"/>
  <c r="U21" i="5" s="1"/>
  <c r="Q21" i="5"/>
  <c r="T20" i="5"/>
  <c r="U20" i="5" s="1"/>
  <c r="Q20" i="5"/>
  <c r="T19" i="5"/>
  <c r="U19" i="5" s="1"/>
  <c r="Q19" i="5"/>
  <c r="BB4" i="12"/>
  <c r="BB5" i="12"/>
  <c r="BB6" i="12"/>
  <c r="BB7" i="12"/>
  <c r="BB8" i="12"/>
  <c r="BB9" i="12"/>
  <c r="BB10" i="12"/>
  <c r="BB11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4" i="12"/>
  <c r="BB25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8" i="12"/>
  <c r="BB39" i="12"/>
  <c r="BB40" i="12"/>
  <c r="BB41" i="12"/>
  <c r="BB42" i="12"/>
  <c r="BB43" i="12"/>
  <c r="BB44" i="12"/>
  <c r="BB45" i="12"/>
  <c r="BB46" i="12"/>
  <c r="BB47" i="12"/>
  <c r="BB48" i="12"/>
  <c r="BB49" i="12"/>
  <c r="BB50" i="12"/>
  <c r="BB51" i="12"/>
  <c r="BB52" i="12"/>
  <c r="BB53" i="12"/>
  <c r="BB54" i="12"/>
  <c r="BB55" i="12"/>
  <c r="BB56" i="12"/>
  <c r="BB57" i="12"/>
  <c r="BB58" i="12"/>
  <c r="BB59" i="12"/>
  <c r="BB60" i="12"/>
  <c r="BB61" i="12"/>
  <c r="BB62" i="12"/>
  <c r="BB63" i="12"/>
  <c r="BB64" i="12"/>
  <c r="BB65" i="12"/>
  <c r="BB66" i="12"/>
  <c r="BB67" i="12"/>
  <c r="BB68" i="12"/>
  <c r="BB69" i="12"/>
  <c r="BB70" i="12"/>
  <c r="BB71" i="12"/>
  <c r="BB72" i="12"/>
  <c r="BB73" i="12"/>
  <c r="BB74" i="12"/>
  <c r="BB75" i="12"/>
  <c r="BB76" i="12"/>
  <c r="BB77" i="12"/>
  <c r="BB78" i="12"/>
  <c r="BB79" i="12"/>
  <c r="BB80" i="12"/>
  <c r="BB81" i="12"/>
  <c r="BB82" i="12"/>
  <c r="BB83" i="12"/>
  <c r="BB84" i="12"/>
  <c r="BB85" i="12"/>
  <c r="BB86" i="12"/>
  <c r="BB87" i="12"/>
  <c r="T102" i="6"/>
  <c r="U102" i="6" s="1"/>
  <c r="Q102" i="6"/>
  <c r="T101" i="6"/>
  <c r="U101" i="6" s="1"/>
  <c r="Q101" i="6"/>
  <c r="T100" i="6"/>
  <c r="U100" i="6" s="1"/>
  <c r="Q100" i="6"/>
  <c r="T99" i="6"/>
  <c r="U99" i="6" s="1"/>
  <c r="Q99" i="6"/>
  <c r="T98" i="6"/>
  <c r="U98" i="6" s="1"/>
  <c r="Q98" i="6"/>
  <c r="T97" i="6"/>
  <c r="U97" i="6" s="1"/>
  <c r="Q97" i="6"/>
  <c r="T96" i="6"/>
  <c r="U96" i="6" s="1"/>
  <c r="Q96" i="6"/>
  <c r="T95" i="6"/>
  <c r="U95" i="6" s="1"/>
  <c r="Q95" i="6"/>
  <c r="T94" i="6"/>
  <c r="U94" i="6" s="1"/>
  <c r="Q94" i="6"/>
  <c r="T93" i="6"/>
  <c r="U93" i="6" s="1"/>
  <c r="Q93" i="6"/>
  <c r="T92" i="6"/>
  <c r="U92" i="6" s="1"/>
  <c r="Q92" i="6"/>
  <c r="T91" i="6"/>
  <c r="U91" i="6" s="1"/>
  <c r="Q91" i="6"/>
  <c r="T90" i="6"/>
  <c r="U90" i="6" s="1"/>
  <c r="Q90" i="6"/>
  <c r="T89" i="6"/>
  <c r="U89" i="6" s="1"/>
  <c r="Q89" i="6"/>
  <c r="T88" i="6"/>
  <c r="U88" i="6" s="1"/>
  <c r="Q88" i="6"/>
  <c r="T87" i="6"/>
  <c r="U87" i="6" s="1"/>
  <c r="Q87" i="6"/>
  <c r="T86" i="6"/>
  <c r="U86" i="6" s="1"/>
  <c r="Q86" i="6"/>
  <c r="T85" i="6"/>
  <c r="U85" i="6" s="1"/>
  <c r="Q85" i="6"/>
  <c r="T84" i="6"/>
  <c r="U84" i="6" s="1"/>
  <c r="Q84" i="6"/>
  <c r="T83" i="6"/>
  <c r="U83" i="6" s="1"/>
  <c r="Q83" i="6"/>
  <c r="T82" i="6"/>
  <c r="U82" i="6" s="1"/>
  <c r="Q82" i="6"/>
  <c r="T81" i="6"/>
  <c r="U81" i="6" s="1"/>
  <c r="Q81" i="6"/>
  <c r="T80" i="6"/>
  <c r="U80" i="6" s="1"/>
  <c r="Q80" i="6"/>
  <c r="T79" i="6"/>
  <c r="U79" i="6" s="1"/>
  <c r="Q79" i="6"/>
  <c r="T78" i="6"/>
  <c r="U78" i="6" s="1"/>
  <c r="Q78" i="6"/>
  <c r="T77" i="6"/>
  <c r="U77" i="6" s="1"/>
  <c r="Q77" i="6"/>
  <c r="T76" i="6"/>
  <c r="U76" i="6" s="1"/>
  <c r="Q76" i="6"/>
  <c r="T75" i="6"/>
  <c r="U75" i="6" s="1"/>
  <c r="Q75" i="6"/>
  <c r="T74" i="6"/>
  <c r="U74" i="6" s="1"/>
  <c r="Q74" i="6"/>
  <c r="T73" i="6"/>
  <c r="U73" i="6" s="1"/>
  <c r="Q73" i="6"/>
  <c r="T72" i="6"/>
  <c r="U72" i="6" s="1"/>
  <c r="Q72" i="6"/>
  <c r="T71" i="6"/>
  <c r="U71" i="6" s="1"/>
  <c r="Q71" i="6"/>
  <c r="T70" i="6"/>
  <c r="U70" i="6" s="1"/>
  <c r="Q70" i="6"/>
  <c r="T69" i="6"/>
  <c r="U69" i="6" s="1"/>
  <c r="Q69" i="6"/>
  <c r="T68" i="6"/>
  <c r="U68" i="6" s="1"/>
  <c r="Q68" i="6"/>
  <c r="T67" i="6"/>
  <c r="U67" i="6" s="1"/>
  <c r="Q67" i="6"/>
  <c r="T66" i="6"/>
  <c r="U66" i="6" s="1"/>
  <c r="Q66" i="6"/>
  <c r="T65" i="6"/>
  <c r="U65" i="6" s="1"/>
  <c r="Q65" i="6"/>
  <c r="T64" i="6"/>
  <c r="U64" i="6" s="1"/>
  <c r="Q64" i="6"/>
  <c r="T63" i="6"/>
  <c r="U63" i="6" s="1"/>
  <c r="Q63" i="6"/>
  <c r="T62" i="6"/>
  <c r="U62" i="6" s="1"/>
  <c r="Q62" i="6"/>
  <c r="T61" i="6"/>
  <c r="U61" i="6" s="1"/>
  <c r="Q61" i="6"/>
  <c r="T60" i="6"/>
  <c r="U60" i="6" s="1"/>
  <c r="Q60" i="6"/>
  <c r="T59" i="6"/>
  <c r="U59" i="6" s="1"/>
  <c r="Q59" i="6"/>
  <c r="T58" i="6"/>
  <c r="U58" i="6" s="1"/>
  <c r="Q58" i="6"/>
  <c r="T57" i="6"/>
  <c r="U57" i="6" s="1"/>
  <c r="Q57" i="6"/>
  <c r="T56" i="6"/>
  <c r="U56" i="6" s="1"/>
  <c r="Q56" i="6"/>
  <c r="T55" i="6"/>
  <c r="U55" i="6" s="1"/>
  <c r="Q55" i="6"/>
  <c r="T54" i="6"/>
  <c r="U54" i="6" s="1"/>
  <c r="Q54" i="6"/>
  <c r="T53" i="6"/>
  <c r="U53" i="6" s="1"/>
  <c r="Q53" i="6"/>
  <c r="T52" i="6"/>
  <c r="U52" i="6" s="1"/>
  <c r="Q52" i="6"/>
  <c r="T51" i="6"/>
  <c r="U51" i="6" s="1"/>
  <c r="Q51" i="6"/>
  <c r="T50" i="6"/>
  <c r="U50" i="6" s="1"/>
  <c r="Q50" i="6"/>
  <c r="T49" i="6"/>
  <c r="U49" i="6" s="1"/>
  <c r="Q49" i="6"/>
  <c r="T48" i="6"/>
  <c r="U48" i="6" s="1"/>
  <c r="Q48" i="6"/>
  <c r="T47" i="6"/>
  <c r="U47" i="6" s="1"/>
  <c r="Q47" i="6"/>
  <c r="T46" i="6"/>
  <c r="U46" i="6" s="1"/>
  <c r="Q46" i="6"/>
  <c r="T45" i="6"/>
  <c r="U45" i="6" s="1"/>
  <c r="Q45" i="6"/>
  <c r="T44" i="6"/>
  <c r="U44" i="6" s="1"/>
  <c r="Q44" i="6"/>
  <c r="T43" i="6"/>
  <c r="U43" i="6" s="1"/>
  <c r="Q43" i="6"/>
  <c r="T42" i="6"/>
  <c r="U42" i="6" s="1"/>
  <c r="Q42" i="6"/>
  <c r="T41" i="6"/>
  <c r="U41" i="6" s="1"/>
  <c r="Q41" i="6"/>
  <c r="T40" i="6"/>
  <c r="U40" i="6" s="1"/>
  <c r="Q40" i="6"/>
  <c r="T39" i="6"/>
  <c r="U39" i="6" s="1"/>
  <c r="Q39" i="6"/>
  <c r="T38" i="6"/>
  <c r="U38" i="6" s="1"/>
  <c r="Q38" i="6"/>
  <c r="T37" i="6"/>
  <c r="U37" i="6" s="1"/>
  <c r="Q37" i="6"/>
  <c r="T36" i="6"/>
  <c r="U36" i="6" s="1"/>
  <c r="Q36" i="6"/>
  <c r="T35" i="6"/>
  <c r="U35" i="6" s="1"/>
  <c r="Q35" i="6"/>
  <c r="T34" i="6"/>
  <c r="U34" i="6" s="1"/>
  <c r="Q34" i="6"/>
  <c r="T33" i="6"/>
  <c r="U33" i="6" s="1"/>
  <c r="Q33" i="6"/>
  <c r="T32" i="6"/>
  <c r="U32" i="6" s="1"/>
  <c r="Q32" i="6"/>
  <c r="T31" i="6"/>
  <c r="U31" i="6" s="1"/>
  <c r="Q31" i="6"/>
  <c r="T30" i="6"/>
  <c r="U30" i="6" s="1"/>
  <c r="Q30" i="6"/>
  <c r="T29" i="6"/>
  <c r="U29" i="6" s="1"/>
  <c r="Q29" i="6"/>
  <c r="T28" i="6"/>
  <c r="U28" i="6" s="1"/>
  <c r="Q28" i="6"/>
  <c r="T27" i="6"/>
  <c r="U27" i="6" s="1"/>
  <c r="Q27" i="6"/>
  <c r="T26" i="6"/>
  <c r="U26" i="6" s="1"/>
  <c r="Q26" i="6"/>
  <c r="T25" i="6"/>
  <c r="U25" i="6" s="1"/>
  <c r="Q25" i="6"/>
  <c r="T24" i="6"/>
  <c r="U24" i="6" s="1"/>
  <c r="Q24" i="6"/>
  <c r="T23" i="6"/>
  <c r="U23" i="6" s="1"/>
  <c r="Q23" i="6"/>
  <c r="T22" i="6"/>
  <c r="U22" i="6" s="1"/>
  <c r="Q22" i="6"/>
  <c r="T21" i="6"/>
  <c r="U21" i="6" s="1"/>
  <c r="Q21" i="6"/>
  <c r="T20" i="6"/>
  <c r="U20" i="6" s="1"/>
  <c r="Q20" i="6"/>
  <c r="T19" i="6"/>
  <c r="U19" i="6" s="1"/>
  <c r="Q19" i="6"/>
  <c r="BG4" i="12"/>
  <c r="BG5" i="12"/>
  <c r="BG6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T102" i="7"/>
  <c r="U102" i="7" s="1"/>
  <c r="Q102" i="7"/>
  <c r="T101" i="7"/>
  <c r="U101" i="7" s="1"/>
  <c r="Q101" i="7"/>
  <c r="T100" i="7"/>
  <c r="U100" i="7" s="1"/>
  <c r="Q100" i="7"/>
  <c r="T99" i="7"/>
  <c r="U99" i="7" s="1"/>
  <c r="Q99" i="7"/>
  <c r="T98" i="7"/>
  <c r="U98" i="7" s="1"/>
  <c r="Q98" i="7"/>
  <c r="T97" i="7"/>
  <c r="U97" i="7" s="1"/>
  <c r="Q97" i="7"/>
  <c r="T96" i="7"/>
  <c r="U96" i="7" s="1"/>
  <c r="Q96" i="7"/>
  <c r="T95" i="7"/>
  <c r="U95" i="7" s="1"/>
  <c r="Q95" i="7"/>
  <c r="T94" i="7"/>
  <c r="U94" i="7" s="1"/>
  <c r="Q94" i="7"/>
  <c r="T93" i="7"/>
  <c r="U93" i="7" s="1"/>
  <c r="Q93" i="7"/>
  <c r="T92" i="7"/>
  <c r="U92" i="7" s="1"/>
  <c r="Q92" i="7"/>
  <c r="T91" i="7"/>
  <c r="U91" i="7" s="1"/>
  <c r="Q91" i="7"/>
  <c r="T90" i="7"/>
  <c r="U90" i="7" s="1"/>
  <c r="Q90" i="7"/>
  <c r="T89" i="7"/>
  <c r="U89" i="7" s="1"/>
  <c r="Q89" i="7"/>
  <c r="T88" i="7"/>
  <c r="U88" i="7" s="1"/>
  <c r="Q88" i="7"/>
  <c r="T87" i="7"/>
  <c r="U87" i="7" s="1"/>
  <c r="Q87" i="7"/>
  <c r="T86" i="7"/>
  <c r="U86" i="7" s="1"/>
  <c r="Q86" i="7"/>
  <c r="T85" i="7"/>
  <c r="U85" i="7" s="1"/>
  <c r="Q85" i="7"/>
  <c r="T84" i="7"/>
  <c r="U84" i="7" s="1"/>
  <c r="Q84" i="7"/>
  <c r="T83" i="7"/>
  <c r="U83" i="7" s="1"/>
  <c r="Q83" i="7"/>
  <c r="T82" i="7"/>
  <c r="U82" i="7" s="1"/>
  <c r="Q82" i="7"/>
  <c r="T81" i="7"/>
  <c r="U81" i="7" s="1"/>
  <c r="Q81" i="7"/>
  <c r="T80" i="7"/>
  <c r="U80" i="7" s="1"/>
  <c r="Q80" i="7"/>
  <c r="T79" i="7"/>
  <c r="U79" i="7" s="1"/>
  <c r="Q79" i="7"/>
  <c r="T78" i="7"/>
  <c r="U78" i="7" s="1"/>
  <c r="Q78" i="7"/>
  <c r="T77" i="7"/>
  <c r="U77" i="7" s="1"/>
  <c r="Q77" i="7"/>
  <c r="T76" i="7"/>
  <c r="U76" i="7" s="1"/>
  <c r="Q76" i="7"/>
  <c r="T75" i="7"/>
  <c r="U75" i="7" s="1"/>
  <c r="Q75" i="7"/>
  <c r="T74" i="7"/>
  <c r="U74" i="7" s="1"/>
  <c r="Q74" i="7"/>
  <c r="T73" i="7"/>
  <c r="U73" i="7" s="1"/>
  <c r="Q73" i="7"/>
  <c r="T72" i="7"/>
  <c r="U72" i="7" s="1"/>
  <c r="Q72" i="7"/>
  <c r="T71" i="7"/>
  <c r="U71" i="7" s="1"/>
  <c r="Q71" i="7"/>
  <c r="T70" i="7"/>
  <c r="U70" i="7" s="1"/>
  <c r="Q70" i="7"/>
  <c r="T69" i="7"/>
  <c r="U69" i="7" s="1"/>
  <c r="Q69" i="7"/>
  <c r="T68" i="7"/>
  <c r="U68" i="7" s="1"/>
  <c r="Q68" i="7"/>
  <c r="T67" i="7"/>
  <c r="U67" i="7" s="1"/>
  <c r="Q67" i="7"/>
  <c r="T66" i="7"/>
  <c r="U66" i="7" s="1"/>
  <c r="Q66" i="7"/>
  <c r="T65" i="7"/>
  <c r="U65" i="7" s="1"/>
  <c r="Q65" i="7"/>
  <c r="T64" i="7"/>
  <c r="U64" i="7" s="1"/>
  <c r="Q64" i="7"/>
  <c r="T63" i="7"/>
  <c r="U63" i="7" s="1"/>
  <c r="Q63" i="7"/>
  <c r="T62" i="7"/>
  <c r="U62" i="7" s="1"/>
  <c r="Q62" i="7"/>
  <c r="T61" i="7"/>
  <c r="U61" i="7" s="1"/>
  <c r="Q61" i="7"/>
  <c r="T60" i="7"/>
  <c r="U60" i="7" s="1"/>
  <c r="Q60" i="7"/>
  <c r="T59" i="7"/>
  <c r="U59" i="7" s="1"/>
  <c r="Q59" i="7"/>
  <c r="T58" i="7"/>
  <c r="U58" i="7" s="1"/>
  <c r="Q58" i="7"/>
  <c r="T57" i="7"/>
  <c r="U57" i="7" s="1"/>
  <c r="Q57" i="7"/>
  <c r="T56" i="7"/>
  <c r="U56" i="7" s="1"/>
  <c r="Q56" i="7"/>
  <c r="T55" i="7"/>
  <c r="U55" i="7" s="1"/>
  <c r="Q55" i="7"/>
  <c r="T54" i="7"/>
  <c r="U54" i="7" s="1"/>
  <c r="Q54" i="7"/>
  <c r="T53" i="7"/>
  <c r="U53" i="7" s="1"/>
  <c r="Q53" i="7"/>
  <c r="T52" i="7"/>
  <c r="U52" i="7" s="1"/>
  <c r="Q52" i="7"/>
  <c r="T51" i="7"/>
  <c r="U51" i="7" s="1"/>
  <c r="Q51" i="7"/>
  <c r="T50" i="7"/>
  <c r="U50" i="7" s="1"/>
  <c r="Q50" i="7"/>
  <c r="T49" i="7"/>
  <c r="U49" i="7" s="1"/>
  <c r="Q49" i="7"/>
  <c r="T48" i="7"/>
  <c r="U48" i="7" s="1"/>
  <c r="Q48" i="7"/>
  <c r="T47" i="7"/>
  <c r="U47" i="7" s="1"/>
  <c r="Q47" i="7"/>
  <c r="T46" i="7"/>
  <c r="U46" i="7" s="1"/>
  <c r="Q46" i="7"/>
  <c r="T45" i="7"/>
  <c r="U45" i="7" s="1"/>
  <c r="Q45" i="7"/>
  <c r="T44" i="7"/>
  <c r="U44" i="7" s="1"/>
  <c r="Q44" i="7"/>
  <c r="T43" i="7"/>
  <c r="U43" i="7" s="1"/>
  <c r="Q43" i="7"/>
  <c r="T42" i="7"/>
  <c r="U42" i="7" s="1"/>
  <c r="Q42" i="7"/>
  <c r="T41" i="7"/>
  <c r="U41" i="7" s="1"/>
  <c r="Q41" i="7"/>
  <c r="T40" i="7"/>
  <c r="U40" i="7" s="1"/>
  <c r="Q40" i="7"/>
  <c r="T39" i="7"/>
  <c r="U39" i="7" s="1"/>
  <c r="Q39" i="7"/>
  <c r="T38" i="7"/>
  <c r="U38" i="7" s="1"/>
  <c r="Q38" i="7"/>
  <c r="T37" i="7"/>
  <c r="U37" i="7" s="1"/>
  <c r="Q37" i="7"/>
  <c r="T36" i="7"/>
  <c r="U36" i="7" s="1"/>
  <c r="Q36" i="7"/>
  <c r="T35" i="7"/>
  <c r="U35" i="7" s="1"/>
  <c r="Q35" i="7"/>
  <c r="T34" i="7"/>
  <c r="U34" i="7" s="1"/>
  <c r="Q34" i="7"/>
  <c r="T33" i="7"/>
  <c r="U33" i="7" s="1"/>
  <c r="Q33" i="7"/>
  <c r="T32" i="7"/>
  <c r="U32" i="7" s="1"/>
  <c r="Q32" i="7"/>
  <c r="T31" i="7"/>
  <c r="U31" i="7" s="1"/>
  <c r="Q31" i="7"/>
  <c r="T30" i="7"/>
  <c r="U30" i="7" s="1"/>
  <c r="Q30" i="7"/>
  <c r="T29" i="7"/>
  <c r="U29" i="7" s="1"/>
  <c r="Q29" i="7"/>
  <c r="T28" i="7"/>
  <c r="U28" i="7" s="1"/>
  <c r="Q28" i="7"/>
  <c r="T27" i="7"/>
  <c r="U27" i="7" s="1"/>
  <c r="Q27" i="7"/>
  <c r="T26" i="7"/>
  <c r="U26" i="7" s="1"/>
  <c r="Q26" i="7"/>
  <c r="T25" i="7"/>
  <c r="U25" i="7" s="1"/>
  <c r="Q25" i="7"/>
  <c r="T24" i="7"/>
  <c r="U24" i="7" s="1"/>
  <c r="Q24" i="7"/>
  <c r="T23" i="7"/>
  <c r="U23" i="7" s="1"/>
  <c r="Q23" i="7"/>
  <c r="T22" i="7"/>
  <c r="U22" i="7" s="1"/>
  <c r="Q22" i="7"/>
  <c r="T21" i="7"/>
  <c r="U21" i="7" s="1"/>
  <c r="Q21" i="7"/>
  <c r="T20" i="7"/>
  <c r="U20" i="7" s="1"/>
  <c r="Q20" i="7"/>
  <c r="T19" i="7"/>
  <c r="U19" i="7" s="1"/>
  <c r="Q19" i="7"/>
  <c r="T102" i="8"/>
  <c r="U102" i="8" s="1"/>
  <c r="Q102" i="8"/>
  <c r="T101" i="8"/>
  <c r="U101" i="8" s="1"/>
  <c r="Q101" i="8"/>
  <c r="T100" i="8"/>
  <c r="U100" i="8" s="1"/>
  <c r="Q100" i="8"/>
  <c r="T99" i="8"/>
  <c r="U99" i="8" s="1"/>
  <c r="Q99" i="8"/>
  <c r="T98" i="8"/>
  <c r="U98" i="8" s="1"/>
  <c r="Q98" i="8"/>
  <c r="T97" i="8"/>
  <c r="U97" i="8" s="1"/>
  <c r="Q97" i="8"/>
  <c r="T96" i="8"/>
  <c r="U96" i="8" s="1"/>
  <c r="Q96" i="8"/>
  <c r="T95" i="8"/>
  <c r="U95" i="8" s="1"/>
  <c r="Q95" i="8"/>
  <c r="T94" i="8"/>
  <c r="U94" i="8" s="1"/>
  <c r="Q94" i="8"/>
  <c r="T93" i="8"/>
  <c r="U93" i="8" s="1"/>
  <c r="Q93" i="8"/>
  <c r="T92" i="8"/>
  <c r="U92" i="8" s="1"/>
  <c r="Q92" i="8"/>
  <c r="T91" i="8"/>
  <c r="U91" i="8" s="1"/>
  <c r="Q91" i="8"/>
  <c r="T90" i="8"/>
  <c r="U90" i="8" s="1"/>
  <c r="Q90" i="8"/>
  <c r="T89" i="8"/>
  <c r="U89" i="8" s="1"/>
  <c r="Q89" i="8"/>
  <c r="T88" i="8"/>
  <c r="U88" i="8" s="1"/>
  <c r="Q88" i="8"/>
  <c r="T87" i="8"/>
  <c r="U87" i="8" s="1"/>
  <c r="Q87" i="8"/>
  <c r="T86" i="8"/>
  <c r="U86" i="8" s="1"/>
  <c r="Q86" i="8"/>
  <c r="T85" i="8"/>
  <c r="U85" i="8" s="1"/>
  <c r="Q85" i="8"/>
  <c r="T84" i="8"/>
  <c r="U84" i="8" s="1"/>
  <c r="Q84" i="8"/>
  <c r="T83" i="8"/>
  <c r="U83" i="8" s="1"/>
  <c r="Q83" i="8"/>
  <c r="T82" i="8"/>
  <c r="U82" i="8" s="1"/>
  <c r="Q82" i="8"/>
  <c r="T81" i="8"/>
  <c r="U81" i="8" s="1"/>
  <c r="Q81" i="8"/>
  <c r="T80" i="8"/>
  <c r="U80" i="8" s="1"/>
  <c r="Q80" i="8"/>
  <c r="T79" i="8"/>
  <c r="U79" i="8" s="1"/>
  <c r="Q79" i="8"/>
  <c r="T78" i="8"/>
  <c r="U78" i="8" s="1"/>
  <c r="Q78" i="8"/>
  <c r="T77" i="8"/>
  <c r="U77" i="8" s="1"/>
  <c r="Q77" i="8"/>
  <c r="T76" i="8"/>
  <c r="U76" i="8" s="1"/>
  <c r="Q76" i="8"/>
  <c r="T75" i="8"/>
  <c r="U75" i="8" s="1"/>
  <c r="Q75" i="8"/>
  <c r="T74" i="8"/>
  <c r="U74" i="8" s="1"/>
  <c r="Q74" i="8"/>
  <c r="T73" i="8"/>
  <c r="U73" i="8" s="1"/>
  <c r="Q73" i="8"/>
  <c r="T72" i="8"/>
  <c r="U72" i="8" s="1"/>
  <c r="Q72" i="8"/>
  <c r="T71" i="8"/>
  <c r="U71" i="8" s="1"/>
  <c r="Q71" i="8"/>
  <c r="T70" i="8"/>
  <c r="U70" i="8" s="1"/>
  <c r="Q70" i="8"/>
  <c r="T69" i="8"/>
  <c r="U69" i="8" s="1"/>
  <c r="Q69" i="8"/>
  <c r="T68" i="8"/>
  <c r="U68" i="8" s="1"/>
  <c r="Q68" i="8"/>
  <c r="T67" i="8"/>
  <c r="U67" i="8" s="1"/>
  <c r="Q67" i="8"/>
  <c r="T66" i="8"/>
  <c r="U66" i="8" s="1"/>
  <c r="Q66" i="8"/>
  <c r="T65" i="8"/>
  <c r="U65" i="8" s="1"/>
  <c r="Q65" i="8"/>
  <c r="T64" i="8"/>
  <c r="U64" i="8" s="1"/>
  <c r="Q64" i="8"/>
  <c r="T63" i="8"/>
  <c r="U63" i="8" s="1"/>
  <c r="Q63" i="8"/>
  <c r="T62" i="8"/>
  <c r="U62" i="8" s="1"/>
  <c r="Q62" i="8"/>
  <c r="T61" i="8"/>
  <c r="U61" i="8" s="1"/>
  <c r="Q61" i="8"/>
  <c r="T60" i="8"/>
  <c r="U60" i="8" s="1"/>
  <c r="Q60" i="8"/>
  <c r="T59" i="8"/>
  <c r="U59" i="8" s="1"/>
  <c r="Q59" i="8"/>
  <c r="T58" i="8"/>
  <c r="U58" i="8" s="1"/>
  <c r="Q58" i="8"/>
  <c r="T57" i="8"/>
  <c r="U57" i="8" s="1"/>
  <c r="Q57" i="8"/>
  <c r="T56" i="8"/>
  <c r="U56" i="8" s="1"/>
  <c r="Q56" i="8"/>
  <c r="T55" i="8"/>
  <c r="U55" i="8" s="1"/>
  <c r="Q55" i="8"/>
  <c r="T54" i="8"/>
  <c r="U54" i="8" s="1"/>
  <c r="Q54" i="8"/>
  <c r="T53" i="8"/>
  <c r="U53" i="8" s="1"/>
  <c r="Q53" i="8"/>
  <c r="T52" i="8"/>
  <c r="U52" i="8" s="1"/>
  <c r="Q52" i="8"/>
  <c r="T51" i="8"/>
  <c r="U51" i="8" s="1"/>
  <c r="Q51" i="8"/>
  <c r="T50" i="8"/>
  <c r="U50" i="8" s="1"/>
  <c r="Q50" i="8"/>
  <c r="T49" i="8"/>
  <c r="U49" i="8" s="1"/>
  <c r="Q49" i="8"/>
  <c r="T48" i="8"/>
  <c r="U48" i="8" s="1"/>
  <c r="Q48" i="8"/>
  <c r="T47" i="8"/>
  <c r="U47" i="8" s="1"/>
  <c r="Q47" i="8"/>
  <c r="T46" i="8"/>
  <c r="U46" i="8" s="1"/>
  <c r="Q46" i="8"/>
  <c r="T45" i="8"/>
  <c r="U45" i="8" s="1"/>
  <c r="Q45" i="8"/>
  <c r="T44" i="8"/>
  <c r="U44" i="8" s="1"/>
  <c r="Q44" i="8"/>
  <c r="T43" i="8"/>
  <c r="U43" i="8" s="1"/>
  <c r="Q43" i="8"/>
  <c r="T42" i="8"/>
  <c r="U42" i="8" s="1"/>
  <c r="Q42" i="8"/>
  <c r="T41" i="8"/>
  <c r="U41" i="8" s="1"/>
  <c r="Q41" i="8"/>
  <c r="T40" i="8"/>
  <c r="U40" i="8" s="1"/>
  <c r="Q40" i="8"/>
  <c r="T39" i="8"/>
  <c r="U39" i="8" s="1"/>
  <c r="Q39" i="8"/>
  <c r="T38" i="8"/>
  <c r="U38" i="8" s="1"/>
  <c r="Q38" i="8"/>
  <c r="T37" i="8"/>
  <c r="U37" i="8" s="1"/>
  <c r="Q37" i="8"/>
  <c r="T36" i="8"/>
  <c r="U36" i="8" s="1"/>
  <c r="Q36" i="8"/>
  <c r="T35" i="8"/>
  <c r="U35" i="8" s="1"/>
  <c r="Q35" i="8"/>
  <c r="T34" i="8"/>
  <c r="U34" i="8" s="1"/>
  <c r="Q34" i="8"/>
  <c r="T33" i="8"/>
  <c r="U33" i="8" s="1"/>
  <c r="Q33" i="8"/>
  <c r="T32" i="8"/>
  <c r="U32" i="8" s="1"/>
  <c r="Q32" i="8"/>
  <c r="T31" i="8"/>
  <c r="U31" i="8" s="1"/>
  <c r="Q31" i="8"/>
  <c r="T30" i="8"/>
  <c r="U30" i="8" s="1"/>
  <c r="Q30" i="8"/>
  <c r="T29" i="8"/>
  <c r="U29" i="8" s="1"/>
  <c r="Q29" i="8"/>
  <c r="T28" i="8"/>
  <c r="U28" i="8" s="1"/>
  <c r="Q28" i="8"/>
  <c r="T27" i="8"/>
  <c r="U27" i="8" s="1"/>
  <c r="Q27" i="8"/>
  <c r="T26" i="8"/>
  <c r="U26" i="8" s="1"/>
  <c r="Q26" i="8"/>
  <c r="T25" i="8"/>
  <c r="U25" i="8" s="1"/>
  <c r="Q25" i="8"/>
  <c r="T24" i="8"/>
  <c r="U24" i="8" s="1"/>
  <c r="Q24" i="8"/>
  <c r="T23" i="8"/>
  <c r="U23" i="8" s="1"/>
  <c r="Q23" i="8"/>
  <c r="T22" i="8"/>
  <c r="U22" i="8" s="1"/>
  <c r="Q22" i="8"/>
  <c r="T21" i="8"/>
  <c r="U21" i="8" s="1"/>
  <c r="Q21" i="8"/>
  <c r="T20" i="8"/>
  <c r="U20" i="8" s="1"/>
  <c r="Q20" i="8"/>
  <c r="T19" i="8"/>
  <c r="U19" i="8" s="1"/>
  <c r="Q19" i="8"/>
  <c r="BL4" i="12"/>
  <c r="BL5" i="12"/>
  <c r="BL6" i="12"/>
  <c r="BL7" i="12"/>
  <c r="BL8" i="12"/>
  <c r="BL9" i="12"/>
  <c r="BL10" i="12"/>
  <c r="BL11" i="12"/>
  <c r="BL12" i="12"/>
  <c r="BL13" i="12"/>
  <c r="BL14" i="12"/>
  <c r="BL15" i="12"/>
  <c r="BL16" i="12"/>
  <c r="BL17" i="12"/>
  <c r="BL18" i="12"/>
  <c r="BL19" i="12"/>
  <c r="BL20" i="12"/>
  <c r="BL21" i="12"/>
  <c r="BL22" i="12"/>
  <c r="BL23" i="12"/>
  <c r="BL24" i="12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45" i="12"/>
  <c r="BL46" i="12"/>
  <c r="BL47" i="12"/>
  <c r="BL48" i="12"/>
  <c r="BL49" i="12"/>
  <c r="BL50" i="12"/>
  <c r="BL51" i="12"/>
  <c r="BL52" i="12"/>
  <c r="BL53" i="12"/>
  <c r="BL54" i="12"/>
  <c r="BL55" i="12"/>
  <c r="BL56" i="12"/>
  <c r="BL57" i="12"/>
  <c r="BL58" i="12"/>
  <c r="BL59" i="12"/>
  <c r="BL60" i="12"/>
  <c r="BL61" i="12"/>
  <c r="BL62" i="12"/>
  <c r="BL63" i="12"/>
  <c r="BL64" i="12"/>
  <c r="BL65" i="12"/>
  <c r="BL66" i="12"/>
  <c r="BL67" i="12"/>
  <c r="BL68" i="12"/>
  <c r="BL69" i="12"/>
  <c r="BL70" i="12"/>
  <c r="BL71" i="12"/>
  <c r="BL72" i="12"/>
  <c r="BL73" i="12"/>
  <c r="BL74" i="12"/>
  <c r="BL75" i="12"/>
  <c r="BL76" i="12"/>
  <c r="BL77" i="12"/>
  <c r="BL78" i="12"/>
  <c r="BL79" i="12"/>
  <c r="BL80" i="12"/>
  <c r="BL81" i="12"/>
  <c r="BL82" i="12"/>
  <c r="BL83" i="12"/>
  <c r="BL84" i="12"/>
  <c r="BL85" i="12"/>
  <c r="BL86" i="12"/>
  <c r="BL87" i="12"/>
  <c r="T102" i="9"/>
  <c r="U102" i="9" s="1"/>
  <c r="Q102" i="9"/>
  <c r="T101" i="9"/>
  <c r="U101" i="9" s="1"/>
  <c r="Q101" i="9"/>
  <c r="T100" i="9"/>
  <c r="U100" i="9" s="1"/>
  <c r="Q100" i="9"/>
  <c r="T99" i="9"/>
  <c r="U99" i="9" s="1"/>
  <c r="Q99" i="9"/>
  <c r="T98" i="9"/>
  <c r="U98" i="9" s="1"/>
  <c r="Q98" i="9"/>
  <c r="T97" i="9"/>
  <c r="U97" i="9" s="1"/>
  <c r="Q97" i="9"/>
  <c r="T96" i="9"/>
  <c r="U96" i="9" s="1"/>
  <c r="Q96" i="9"/>
  <c r="T95" i="9"/>
  <c r="U95" i="9" s="1"/>
  <c r="Q95" i="9"/>
  <c r="T94" i="9"/>
  <c r="U94" i="9" s="1"/>
  <c r="Q94" i="9"/>
  <c r="T93" i="9"/>
  <c r="U93" i="9" s="1"/>
  <c r="Q93" i="9"/>
  <c r="T92" i="9"/>
  <c r="U92" i="9" s="1"/>
  <c r="Q92" i="9"/>
  <c r="T91" i="9"/>
  <c r="U91" i="9" s="1"/>
  <c r="Q91" i="9"/>
  <c r="T90" i="9"/>
  <c r="U90" i="9" s="1"/>
  <c r="Q90" i="9"/>
  <c r="T89" i="9"/>
  <c r="U89" i="9" s="1"/>
  <c r="Q89" i="9"/>
  <c r="T88" i="9"/>
  <c r="U88" i="9" s="1"/>
  <c r="Q88" i="9"/>
  <c r="T87" i="9"/>
  <c r="U87" i="9" s="1"/>
  <c r="Q87" i="9"/>
  <c r="T86" i="9"/>
  <c r="U86" i="9" s="1"/>
  <c r="Q86" i="9"/>
  <c r="T85" i="9"/>
  <c r="U85" i="9" s="1"/>
  <c r="Q85" i="9"/>
  <c r="T84" i="9"/>
  <c r="U84" i="9" s="1"/>
  <c r="Q84" i="9"/>
  <c r="T83" i="9"/>
  <c r="U83" i="9" s="1"/>
  <c r="Q83" i="9"/>
  <c r="T82" i="9"/>
  <c r="U82" i="9" s="1"/>
  <c r="Q82" i="9"/>
  <c r="T81" i="9"/>
  <c r="U81" i="9" s="1"/>
  <c r="Q81" i="9"/>
  <c r="T80" i="9"/>
  <c r="U80" i="9" s="1"/>
  <c r="Q80" i="9"/>
  <c r="T79" i="9"/>
  <c r="U79" i="9" s="1"/>
  <c r="Q79" i="9"/>
  <c r="T78" i="9"/>
  <c r="U78" i="9" s="1"/>
  <c r="Q78" i="9"/>
  <c r="T77" i="9"/>
  <c r="U77" i="9" s="1"/>
  <c r="Q77" i="9"/>
  <c r="T76" i="9"/>
  <c r="U76" i="9" s="1"/>
  <c r="Q76" i="9"/>
  <c r="T75" i="9"/>
  <c r="U75" i="9" s="1"/>
  <c r="Q75" i="9"/>
  <c r="T74" i="9"/>
  <c r="U74" i="9" s="1"/>
  <c r="Q74" i="9"/>
  <c r="T73" i="9"/>
  <c r="U73" i="9" s="1"/>
  <c r="Q73" i="9"/>
  <c r="T72" i="9"/>
  <c r="U72" i="9" s="1"/>
  <c r="Q72" i="9"/>
  <c r="T71" i="9"/>
  <c r="U71" i="9" s="1"/>
  <c r="Q71" i="9"/>
  <c r="T70" i="9"/>
  <c r="U70" i="9" s="1"/>
  <c r="Q70" i="9"/>
  <c r="T69" i="9"/>
  <c r="U69" i="9" s="1"/>
  <c r="Q69" i="9"/>
  <c r="T68" i="9"/>
  <c r="U68" i="9" s="1"/>
  <c r="Q68" i="9"/>
  <c r="T67" i="9"/>
  <c r="U67" i="9" s="1"/>
  <c r="Q67" i="9"/>
  <c r="T66" i="9"/>
  <c r="U66" i="9" s="1"/>
  <c r="Q66" i="9"/>
  <c r="T65" i="9"/>
  <c r="U65" i="9" s="1"/>
  <c r="Q65" i="9"/>
  <c r="T64" i="9"/>
  <c r="U64" i="9" s="1"/>
  <c r="Q64" i="9"/>
  <c r="T63" i="9"/>
  <c r="U63" i="9" s="1"/>
  <c r="Q63" i="9"/>
  <c r="T62" i="9"/>
  <c r="U62" i="9" s="1"/>
  <c r="Q62" i="9"/>
  <c r="T61" i="9"/>
  <c r="U61" i="9" s="1"/>
  <c r="Q61" i="9"/>
  <c r="T60" i="9"/>
  <c r="U60" i="9" s="1"/>
  <c r="Q60" i="9"/>
  <c r="T59" i="9"/>
  <c r="U59" i="9" s="1"/>
  <c r="Q59" i="9"/>
  <c r="T58" i="9"/>
  <c r="U58" i="9" s="1"/>
  <c r="Q58" i="9"/>
  <c r="T57" i="9"/>
  <c r="U57" i="9" s="1"/>
  <c r="Q57" i="9"/>
  <c r="T56" i="9"/>
  <c r="U56" i="9" s="1"/>
  <c r="Q56" i="9"/>
  <c r="T55" i="9"/>
  <c r="U55" i="9" s="1"/>
  <c r="Q55" i="9"/>
  <c r="T54" i="9"/>
  <c r="U54" i="9" s="1"/>
  <c r="Q54" i="9"/>
  <c r="T53" i="9"/>
  <c r="U53" i="9" s="1"/>
  <c r="Q53" i="9"/>
  <c r="T52" i="9"/>
  <c r="U52" i="9" s="1"/>
  <c r="Q52" i="9"/>
  <c r="T51" i="9"/>
  <c r="U51" i="9" s="1"/>
  <c r="Q51" i="9"/>
  <c r="T50" i="9"/>
  <c r="U50" i="9" s="1"/>
  <c r="Q50" i="9"/>
  <c r="T49" i="9"/>
  <c r="U49" i="9" s="1"/>
  <c r="Q49" i="9"/>
  <c r="T48" i="9"/>
  <c r="U48" i="9" s="1"/>
  <c r="Q48" i="9"/>
  <c r="T47" i="9"/>
  <c r="U47" i="9" s="1"/>
  <c r="Q47" i="9"/>
  <c r="T46" i="9"/>
  <c r="U46" i="9" s="1"/>
  <c r="Q46" i="9"/>
  <c r="T45" i="9"/>
  <c r="U45" i="9" s="1"/>
  <c r="Q45" i="9"/>
  <c r="T44" i="9"/>
  <c r="U44" i="9" s="1"/>
  <c r="Q44" i="9"/>
  <c r="T43" i="9"/>
  <c r="U43" i="9" s="1"/>
  <c r="Q43" i="9"/>
  <c r="T42" i="9"/>
  <c r="U42" i="9" s="1"/>
  <c r="Q42" i="9"/>
  <c r="T41" i="9"/>
  <c r="U41" i="9" s="1"/>
  <c r="Q41" i="9"/>
  <c r="T40" i="9"/>
  <c r="U40" i="9" s="1"/>
  <c r="Q40" i="9"/>
  <c r="T39" i="9"/>
  <c r="U39" i="9" s="1"/>
  <c r="Q39" i="9"/>
  <c r="T38" i="9"/>
  <c r="U38" i="9" s="1"/>
  <c r="Q38" i="9"/>
  <c r="T37" i="9"/>
  <c r="U37" i="9" s="1"/>
  <c r="Q37" i="9"/>
  <c r="T36" i="9"/>
  <c r="U36" i="9" s="1"/>
  <c r="Q36" i="9"/>
  <c r="T35" i="9"/>
  <c r="U35" i="9" s="1"/>
  <c r="Q35" i="9"/>
  <c r="T34" i="9"/>
  <c r="U34" i="9" s="1"/>
  <c r="Q34" i="9"/>
  <c r="T33" i="9"/>
  <c r="U33" i="9" s="1"/>
  <c r="Q33" i="9"/>
  <c r="T32" i="9"/>
  <c r="U32" i="9" s="1"/>
  <c r="Q32" i="9"/>
  <c r="T31" i="9"/>
  <c r="U31" i="9" s="1"/>
  <c r="Q31" i="9"/>
  <c r="T30" i="9"/>
  <c r="U30" i="9" s="1"/>
  <c r="Q30" i="9"/>
  <c r="T29" i="9"/>
  <c r="U29" i="9" s="1"/>
  <c r="Q29" i="9"/>
  <c r="T28" i="9"/>
  <c r="U28" i="9" s="1"/>
  <c r="Q28" i="9"/>
  <c r="T27" i="9"/>
  <c r="U27" i="9" s="1"/>
  <c r="Q27" i="9"/>
  <c r="T26" i="9"/>
  <c r="U26" i="9" s="1"/>
  <c r="Q26" i="9"/>
  <c r="T25" i="9"/>
  <c r="U25" i="9" s="1"/>
  <c r="Q25" i="9"/>
  <c r="T24" i="9"/>
  <c r="U24" i="9" s="1"/>
  <c r="Q24" i="9"/>
  <c r="T23" i="9"/>
  <c r="U23" i="9" s="1"/>
  <c r="Q23" i="9"/>
  <c r="T22" i="9"/>
  <c r="U22" i="9" s="1"/>
  <c r="Q22" i="9"/>
  <c r="T21" i="9"/>
  <c r="U21" i="9" s="1"/>
  <c r="Q21" i="9"/>
  <c r="T20" i="9"/>
  <c r="U20" i="9" s="1"/>
  <c r="Q20" i="9"/>
  <c r="T19" i="9"/>
  <c r="U19" i="9" s="1"/>
  <c r="Q19" i="9"/>
  <c r="BQ4" i="12"/>
  <c r="BQ5" i="12"/>
  <c r="BQ6" i="12"/>
  <c r="BQ7" i="12"/>
  <c r="BQ8" i="12"/>
  <c r="BQ9" i="12"/>
  <c r="BQ10" i="12"/>
  <c r="BQ11" i="12"/>
  <c r="BQ12" i="12"/>
  <c r="BQ13" i="12"/>
  <c r="BQ14" i="12"/>
  <c r="BQ15" i="12"/>
  <c r="BQ16" i="12"/>
  <c r="BQ17" i="12"/>
  <c r="BQ18" i="12"/>
  <c r="BQ19" i="12"/>
  <c r="BQ20" i="12"/>
  <c r="BQ21" i="12"/>
  <c r="BQ22" i="12"/>
  <c r="BQ23" i="12"/>
  <c r="BQ24" i="12"/>
  <c r="BQ25" i="12"/>
  <c r="BQ26" i="12"/>
  <c r="BQ27" i="12"/>
  <c r="BQ28" i="12"/>
  <c r="BQ29" i="12"/>
  <c r="BQ30" i="12"/>
  <c r="BQ31" i="12"/>
  <c r="BQ32" i="12"/>
  <c r="BQ33" i="12"/>
  <c r="BQ34" i="12"/>
  <c r="BQ35" i="12"/>
  <c r="BQ36" i="12"/>
  <c r="BQ37" i="12"/>
  <c r="BQ38" i="12"/>
  <c r="BQ39" i="12"/>
  <c r="BQ40" i="12"/>
  <c r="BQ41" i="12"/>
  <c r="BQ42" i="12"/>
  <c r="BQ43" i="12"/>
  <c r="BQ44" i="12"/>
  <c r="BQ45" i="12"/>
  <c r="BQ46" i="12"/>
  <c r="BQ47" i="12"/>
  <c r="BQ48" i="12"/>
  <c r="BQ49" i="12"/>
  <c r="BQ50" i="12"/>
  <c r="BQ51" i="12"/>
  <c r="BQ52" i="12"/>
  <c r="BQ53" i="12"/>
  <c r="BQ54" i="12"/>
  <c r="BQ55" i="12"/>
  <c r="BQ56" i="12"/>
  <c r="BQ57" i="12"/>
  <c r="BQ58" i="12"/>
  <c r="BQ59" i="12"/>
  <c r="BQ60" i="12"/>
  <c r="BQ61" i="12"/>
  <c r="BQ62" i="12"/>
  <c r="BQ63" i="12"/>
  <c r="BQ64" i="12"/>
  <c r="BQ65" i="12"/>
  <c r="BQ66" i="12"/>
  <c r="BQ67" i="12"/>
  <c r="BQ68" i="12"/>
  <c r="BQ69" i="12"/>
  <c r="BQ70" i="12"/>
  <c r="BQ71" i="12"/>
  <c r="BQ72" i="12"/>
  <c r="BQ73" i="12"/>
  <c r="BQ74" i="12"/>
  <c r="BQ75" i="12"/>
  <c r="BQ76" i="12"/>
  <c r="BQ77" i="12"/>
  <c r="BQ78" i="12"/>
  <c r="BQ79" i="12"/>
  <c r="BQ80" i="12"/>
  <c r="BQ81" i="12"/>
  <c r="BQ82" i="12"/>
  <c r="BQ83" i="12"/>
  <c r="BQ84" i="12"/>
  <c r="BQ85" i="12"/>
  <c r="BQ86" i="12"/>
  <c r="BQ87" i="12"/>
  <c r="T102" i="10"/>
  <c r="U102" i="10" s="1"/>
  <c r="Q102" i="10"/>
  <c r="T101" i="10"/>
  <c r="U101" i="10" s="1"/>
  <c r="Q101" i="10"/>
  <c r="T100" i="10"/>
  <c r="U100" i="10" s="1"/>
  <c r="Q100" i="10"/>
  <c r="T99" i="10"/>
  <c r="U99" i="10" s="1"/>
  <c r="Q99" i="10"/>
  <c r="T98" i="10"/>
  <c r="U98" i="10" s="1"/>
  <c r="Q98" i="10"/>
  <c r="T97" i="10"/>
  <c r="U97" i="10" s="1"/>
  <c r="Q97" i="10"/>
  <c r="T96" i="10"/>
  <c r="U96" i="10" s="1"/>
  <c r="Q96" i="10"/>
  <c r="T95" i="10"/>
  <c r="U95" i="10" s="1"/>
  <c r="Q95" i="10"/>
  <c r="T94" i="10"/>
  <c r="U94" i="10" s="1"/>
  <c r="Q94" i="10"/>
  <c r="T93" i="10"/>
  <c r="U93" i="10" s="1"/>
  <c r="Q93" i="10"/>
  <c r="T92" i="10"/>
  <c r="U92" i="10" s="1"/>
  <c r="Q92" i="10"/>
  <c r="T91" i="10"/>
  <c r="U91" i="10" s="1"/>
  <c r="Q91" i="10"/>
  <c r="T90" i="10"/>
  <c r="U90" i="10" s="1"/>
  <c r="Q90" i="10"/>
  <c r="T89" i="10"/>
  <c r="U89" i="10" s="1"/>
  <c r="Q89" i="10"/>
  <c r="T88" i="10"/>
  <c r="U88" i="10" s="1"/>
  <c r="Q88" i="10"/>
  <c r="T87" i="10"/>
  <c r="U87" i="10" s="1"/>
  <c r="Q87" i="10"/>
  <c r="T86" i="10"/>
  <c r="U86" i="10" s="1"/>
  <c r="Q86" i="10"/>
  <c r="T85" i="10"/>
  <c r="U85" i="10" s="1"/>
  <c r="Q85" i="10"/>
  <c r="T84" i="10"/>
  <c r="U84" i="10" s="1"/>
  <c r="Q84" i="10"/>
  <c r="T83" i="10"/>
  <c r="U83" i="10" s="1"/>
  <c r="Q83" i="10"/>
  <c r="T82" i="10"/>
  <c r="U82" i="10" s="1"/>
  <c r="Q82" i="10"/>
  <c r="T81" i="10"/>
  <c r="U81" i="10" s="1"/>
  <c r="Q81" i="10"/>
  <c r="T80" i="10"/>
  <c r="U80" i="10" s="1"/>
  <c r="Q80" i="10"/>
  <c r="T79" i="10"/>
  <c r="U79" i="10" s="1"/>
  <c r="Q79" i="10"/>
  <c r="T78" i="10"/>
  <c r="U78" i="10" s="1"/>
  <c r="Q78" i="10"/>
  <c r="T77" i="10"/>
  <c r="U77" i="10" s="1"/>
  <c r="Q77" i="10"/>
  <c r="T76" i="10"/>
  <c r="U76" i="10" s="1"/>
  <c r="Q76" i="10"/>
  <c r="T75" i="10"/>
  <c r="U75" i="10" s="1"/>
  <c r="Q75" i="10"/>
  <c r="T74" i="10"/>
  <c r="U74" i="10" s="1"/>
  <c r="Q74" i="10"/>
  <c r="T73" i="10"/>
  <c r="U73" i="10" s="1"/>
  <c r="Q73" i="10"/>
  <c r="T72" i="10"/>
  <c r="U72" i="10" s="1"/>
  <c r="Q72" i="10"/>
  <c r="T71" i="10"/>
  <c r="U71" i="10" s="1"/>
  <c r="Q71" i="10"/>
  <c r="T70" i="10"/>
  <c r="U70" i="10" s="1"/>
  <c r="Q70" i="10"/>
  <c r="T69" i="10"/>
  <c r="U69" i="10" s="1"/>
  <c r="Q69" i="10"/>
  <c r="T68" i="10"/>
  <c r="U68" i="10" s="1"/>
  <c r="Q68" i="10"/>
  <c r="T67" i="10"/>
  <c r="U67" i="10" s="1"/>
  <c r="Q67" i="10"/>
  <c r="T66" i="10"/>
  <c r="U66" i="10" s="1"/>
  <c r="Q66" i="10"/>
  <c r="T65" i="10"/>
  <c r="U65" i="10" s="1"/>
  <c r="Q65" i="10"/>
  <c r="T64" i="10"/>
  <c r="U64" i="10" s="1"/>
  <c r="Q64" i="10"/>
  <c r="T63" i="10"/>
  <c r="U63" i="10" s="1"/>
  <c r="Q63" i="10"/>
  <c r="T62" i="10"/>
  <c r="U62" i="10" s="1"/>
  <c r="Q62" i="10"/>
  <c r="T61" i="10"/>
  <c r="U61" i="10" s="1"/>
  <c r="Q61" i="10"/>
  <c r="T60" i="10"/>
  <c r="U60" i="10" s="1"/>
  <c r="Q60" i="10"/>
  <c r="T59" i="10"/>
  <c r="U59" i="10" s="1"/>
  <c r="Q59" i="10"/>
  <c r="T58" i="10"/>
  <c r="U58" i="10" s="1"/>
  <c r="Q58" i="10"/>
  <c r="T57" i="10"/>
  <c r="U57" i="10" s="1"/>
  <c r="Q57" i="10"/>
  <c r="T56" i="10"/>
  <c r="U56" i="10" s="1"/>
  <c r="Q56" i="10"/>
  <c r="T55" i="10"/>
  <c r="U55" i="10" s="1"/>
  <c r="Q55" i="10"/>
  <c r="T54" i="10"/>
  <c r="U54" i="10" s="1"/>
  <c r="Q54" i="10"/>
  <c r="T53" i="10"/>
  <c r="U53" i="10" s="1"/>
  <c r="Q53" i="10"/>
  <c r="T52" i="10"/>
  <c r="U52" i="10" s="1"/>
  <c r="Q52" i="10"/>
  <c r="T51" i="10"/>
  <c r="U51" i="10" s="1"/>
  <c r="Q51" i="10"/>
  <c r="T50" i="10"/>
  <c r="U50" i="10" s="1"/>
  <c r="Q50" i="10"/>
  <c r="T49" i="10"/>
  <c r="U49" i="10" s="1"/>
  <c r="Q49" i="10"/>
  <c r="T48" i="10"/>
  <c r="U48" i="10" s="1"/>
  <c r="Q48" i="10"/>
  <c r="T47" i="10"/>
  <c r="U47" i="10" s="1"/>
  <c r="Q47" i="10"/>
  <c r="T46" i="10"/>
  <c r="U46" i="10" s="1"/>
  <c r="Q46" i="10"/>
  <c r="T45" i="10"/>
  <c r="U45" i="10" s="1"/>
  <c r="Q45" i="10"/>
  <c r="T44" i="10"/>
  <c r="U44" i="10" s="1"/>
  <c r="Q44" i="10"/>
  <c r="T43" i="10"/>
  <c r="U43" i="10" s="1"/>
  <c r="Q43" i="10"/>
  <c r="T42" i="10"/>
  <c r="U42" i="10" s="1"/>
  <c r="Q42" i="10"/>
  <c r="T41" i="10"/>
  <c r="U41" i="10" s="1"/>
  <c r="Q41" i="10"/>
  <c r="T40" i="10"/>
  <c r="U40" i="10" s="1"/>
  <c r="Q40" i="10"/>
  <c r="T39" i="10"/>
  <c r="U39" i="10" s="1"/>
  <c r="Q39" i="10"/>
  <c r="T38" i="10"/>
  <c r="U38" i="10" s="1"/>
  <c r="Q38" i="10"/>
  <c r="T37" i="10"/>
  <c r="U37" i="10" s="1"/>
  <c r="Q37" i="10"/>
  <c r="T36" i="10"/>
  <c r="U36" i="10" s="1"/>
  <c r="Q36" i="10"/>
  <c r="T35" i="10"/>
  <c r="U35" i="10" s="1"/>
  <c r="Q35" i="10"/>
  <c r="T34" i="10"/>
  <c r="U34" i="10" s="1"/>
  <c r="Q34" i="10"/>
  <c r="T33" i="10"/>
  <c r="U33" i="10" s="1"/>
  <c r="Q33" i="10"/>
  <c r="T32" i="10"/>
  <c r="U32" i="10" s="1"/>
  <c r="Q32" i="10"/>
  <c r="T31" i="10"/>
  <c r="U31" i="10" s="1"/>
  <c r="Q31" i="10"/>
  <c r="T30" i="10"/>
  <c r="U30" i="10" s="1"/>
  <c r="Q30" i="10"/>
  <c r="T29" i="10"/>
  <c r="U29" i="10" s="1"/>
  <c r="Q29" i="10"/>
  <c r="T28" i="10"/>
  <c r="U28" i="10" s="1"/>
  <c r="Q28" i="10"/>
  <c r="T27" i="10"/>
  <c r="U27" i="10" s="1"/>
  <c r="Q27" i="10"/>
  <c r="T26" i="10"/>
  <c r="U26" i="10" s="1"/>
  <c r="Q26" i="10"/>
  <c r="T25" i="10"/>
  <c r="U25" i="10" s="1"/>
  <c r="Q25" i="10"/>
  <c r="T24" i="10"/>
  <c r="U24" i="10" s="1"/>
  <c r="Q24" i="10"/>
  <c r="T23" i="10"/>
  <c r="U23" i="10" s="1"/>
  <c r="Q23" i="10"/>
  <c r="T22" i="10"/>
  <c r="U22" i="10" s="1"/>
  <c r="Q22" i="10"/>
  <c r="T21" i="10"/>
  <c r="U21" i="10" s="1"/>
  <c r="Q21" i="10"/>
  <c r="T20" i="10"/>
  <c r="U20" i="10" s="1"/>
  <c r="Q20" i="10"/>
  <c r="T19" i="10"/>
  <c r="U19" i="10" s="1"/>
  <c r="Q19" i="10"/>
  <c r="T102" i="11"/>
  <c r="U102" i="11" s="1"/>
  <c r="BU87" i="12" s="1"/>
  <c r="Q102" i="11"/>
  <c r="T101" i="11"/>
  <c r="U101" i="11" s="1"/>
  <c r="BU86" i="12" s="1"/>
  <c r="Q101" i="11"/>
  <c r="T100" i="11"/>
  <c r="U100" i="11" s="1"/>
  <c r="BU85" i="12" s="1"/>
  <c r="Q100" i="11"/>
  <c r="T99" i="11"/>
  <c r="U99" i="11" s="1"/>
  <c r="BU84" i="12" s="1"/>
  <c r="Q99" i="11"/>
  <c r="T98" i="11"/>
  <c r="U98" i="11" s="1"/>
  <c r="BU83" i="12" s="1"/>
  <c r="Q98" i="11"/>
  <c r="T97" i="11"/>
  <c r="U97" i="11" s="1"/>
  <c r="BU82" i="12" s="1"/>
  <c r="Q97" i="11"/>
  <c r="T96" i="11"/>
  <c r="U96" i="11" s="1"/>
  <c r="BU81" i="12" s="1"/>
  <c r="Q96" i="11"/>
  <c r="T95" i="11"/>
  <c r="U95" i="11" s="1"/>
  <c r="BU80" i="12" s="1"/>
  <c r="Q95" i="11"/>
  <c r="T94" i="11"/>
  <c r="U94" i="11" s="1"/>
  <c r="BU79" i="12" s="1"/>
  <c r="Q94" i="11"/>
  <c r="T93" i="11"/>
  <c r="U93" i="11" s="1"/>
  <c r="BU78" i="12" s="1"/>
  <c r="Q93" i="11"/>
  <c r="T92" i="11"/>
  <c r="U92" i="11" s="1"/>
  <c r="BU77" i="12" s="1"/>
  <c r="Q92" i="11"/>
  <c r="T91" i="11"/>
  <c r="U91" i="11" s="1"/>
  <c r="BU76" i="12" s="1"/>
  <c r="Q91" i="11"/>
  <c r="T90" i="11"/>
  <c r="U90" i="11" s="1"/>
  <c r="BU75" i="12" s="1"/>
  <c r="Q90" i="11"/>
  <c r="T89" i="11"/>
  <c r="U89" i="11" s="1"/>
  <c r="BU74" i="12" s="1"/>
  <c r="Q89" i="11"/>
  <c r="T88" i="11"/>
  <c r="U88" i="11" s="1"/>
  <c r="BU73" i="12" s="1"/>
  <c r="Q88" i="11"/>
  <c r="T87" i="11"/>
  <c r="U87" i="11" s="1"/>
  <c r="BU72" i="12" s="1"/>
  <c r="Q87" i="11"/>
  <c r="T86" i="11"/>
  <c r="U86" i="11" s="1"/>
  <c r="BU71" i="12" s="1"/>
  <c r="Q86" i="11"/>
  <c r="T85" i="11"/>
  <c r="U85" i="11" s="1"/>
  <c r="BU70" i="12" s="1"/>
  <c r="Q85" i="11"/>
  <c r="T84" i="11"/>
  <c r="U84" i="11" s="1"/>
  <c r="BU69" i="12" s="1"/>
  <c r="Q84" i="11"/>
  <c r="T83" i="11"/>
  <c r="U83" i="11" s="1"/>
  <c r="BU68" i="12" s="1"/>
  <c r="Q83" i="11"/>
  <c r="T82" i="11"/>
  <c r="U82" i="11" s="1"/>
  <c r="BU67" i="12" s="1"/>
  <c r="Q82" i="11"/>
  <c r="T81" i="11"/>
  <c r="U81" i="11" s="1"/>
  <c r="BU66" i="12" s="1"/>
  <c r="Q81" i="11"/>
  <c r="T80" i="11"/>
  <c r="U80" i="11" s="1"/>
  <c r="BU65" i="12" s="1"/>
  <c r="Q80" i="11"/>
  <c r="T79" i="11"/>
  <c r="U79" i="11" s="1"/>
  <c r="BU64" i="12" s="1"/>
  <c r="Q79" i="11"/>
  <c r="T78" i="11"/>
  <c r="U78" i="11" s="1"/>
  <c r="BU63" i="12" s="1"/>
  <c r="Q78" i="11"/>
  <c r="T77" i="11"/>
  <c r="U77" i="11" s="1"/>
  <c r="BU62" i="12" s="1"/>
  <c r="Q77" i="11"/>
  <c r="T76" i="11"/>
  <c r="U76" i="11" s="1"/>
  <c r="BU61" i="12" s="1"/>
  <c r="Q76" i="11"/>
  <c r="T75" i="11"/>
  <c r="U75" i="11" s="1"/>
  <c r="BU60" i="12" s="1"/>
  <c r="Q75" i="11"/>
  <c r="T74" i="11"/>
  <c r="U74" i="11" s="1"/>
  <c r="BU59" i="12" s="1"/>
  <c r="Q74" i="11"/>
  <c r="T73" i="11"/>
  <c r="U73" i="11" s="1"/>
  <c r="BU58" i="12" s="1"/>
  <c r="Q73" i="11"/>
  <c r="T72" i="11"/>
  <c r="U72" i="11" s="1"/>
  <c r="BU57" i="12" s="1"/>
  <c r="Q72" i="11"/>
  <c r="T71" i="11"/>
  <c r="U71" i="11" s="1"/>
  <c r="BU56" i="12" s="1"/>
  <c r="Q71" i="11"/>
  <c r="T70" i="11"/>
  <c r="U70" i="11" s="1"/>
  <c r="BU55" i="12" s="1"/>
  <c r="Q70" i="11"/>
  <c r="T69" i="11"/>
  <c r="U69" i="11" s="1"/>
  <c r="BU54" i="12" s="1"/>
  <c r="Q69" i="11"/>
  <c r="T68" i="11"/>
  <c r="U68" i="11" s="1"/>
  <c r="BU53" i="12" s="1"/>
  <c r="Q68" i="11"/>
  <c r="T67" i="11"/>
  <c r="U67" i="11" s="1"/>
  <c r="BU52" i="12" s="1"/>
  <c r="Q67" i="11"/>
  <c r="T66" i="11"/>
  <c r="U66" i="11" s="1"/>
  <c r="BU51" i="12" s="1"/>
  <c r="Q66" i="11"/>
  <c r="T65" i="11"/>
  <c r="U65" i="11" s="1"/>
  <c r="BU50" i="12" s="1"/>
  <c r="Q65" i="11"/>
  <c r="T64" i="11"/>
  <c r="U64" i="11" s="1"/>
  <c r="BU49" i="12" s="1"/>
  <c r="Q64" i="11"/>
  <c r="T63" i="11"/>
  <c r="U63" i="11" s="1"/>
  <c r="BU48" i="12" s="1"/>
  <c r="Q63" i="11"/>
  <c r="T62" i="11"/>
  <c r="U62" i="11" s="1"/>
  <c r="BU47" i="12" s="1"/>
  <c r="Q62" i="11"/>
  <c r="T61" i="11"/>
  <c r="U61" i="11" s="1"/>
  <c r="BU46" i="12" s="1"/>
  <c r="Q61" i="11"/>
  <c r="T60" i="11"/>
  <c r="U60" i="11" s="1"/>
  <c r="BU45" i="12" s="1"/>
  <c r="Q60" i="11"/>
  <c r="T59" i="11"/>
  <c r="U59" i="11" s="1"/>
  <c r="BU44" i="12" s="1"/>
  <c r="Q59" i="11"/>
  <c r="T58" i="11"/>
  <c r="U58" i="11" s="1"/>
  <c r="BU43" i="12" s="1"/>
  <c r="Q58" i="11"/>
  <c r="T57" i="11"/>
  <c r="U57" i="11" s="1"/>
  <c r="BU42" i="12" s="1"/>
  <c r="Q57" i="11"/>
  <c r="T56" i="11"/>
  <c r="U56" i="11" s="1"/>
  <c r="BU41" i="12" s="1"/>
  <c r="Q56" i="11"/>
  <c r="T55" i="11"/>
  <c r="U55" i="11" s="1"/>
  <c r="BU40" i="12" s="1"/>
  <c r="Q55" i="11"/>
  <c r="T54" i="11"/>
  <c r="U54" i="11" s="1"/>
  <c r="BU39" i="12" s="1"/>
  <c r="Q54" i="11"/>
  <c r="T53" i="11"/>
  <c r="U53" i="11" s="1"/>
  <c r="BU38" i="12" s="1"/>
  <c r="Q53" i="11"/>
  <c r="T52" i="11"/>
  <c r="U52" i="11" s="1"/>
  <c r="BU37" i="12" s="1"/>
  <c r="Q52" i="11"/>
  <c r="T51" i="11"/>
  <c r="U51" i="11" s="1"/>
  <c r="BU36" i="12" s="1"/>
  <c r="Q51" i="11"/>
  <c r="T50" i="11"/>
  <c r="U50" i="11" s="1"/>
  <c r="BU35" i="12" s="1"/>
  <c r="Q50" i="11"/>
  <c r="T49" i="11"/>
  <c r="U49" i="11" s="1"/>
  <c r="BU34" i="12" s="1"/>
  <c r="Q49" i="11"/>
  <c r="T48" i="11"/>
  <c r="U48" i="11" s="1"/>
  <c r="BU33" i="12" s="1"/>
  <c r="Q48" i="11"/>
  <c r="T47" i="11"/>
  <c r="U47" i="11" s="1"/>
  <c r="BU32" i="12" s="1"/>
  <c r="Q47" i="11"/>
  <c r="T46" i="11"/>
  <c r="U46" i="11" s="1"/>
  <c r="BU31" i="12" s="1"/>
  <c r="Q46" i="11"/>
  <c r="T45" i="11"/>
  <c r="U45" i="11" s="1"/>
  <c r="BU30" i="12" s="1"/>
  <c r="Q45" i="11"/>
  <c r="T44" i="11"/>
  <c r="U44" i="11" s="1"/>
  <c r="BU29" i="12" s="1"/>
  <c r="Q44" i="11"/>
  <c r="T43" i="11"/>
  <c r="U43" i="11" s="1"/>
  <c r="BU28" i="12" s="1"/>
  <c r="Q43" i="11"/>
  <c r="T42" i="11"/>
  <c r="U42" i="11" s="1"/>
  <c r="BU27" i="12" s="1"/>
  <c r="Q42" i="11"/>
  <c r="T41" i="11"/>
  <c r="U41" i="11" s="1"/>
  <c r="BU26" i="12" s="1"/>
  <c r="Q41" i="11"/>
  <c r="T40" i="11"/>
  <c r="U40" i="11" s="1"/>
  <c r="BU25" i="12" s="1"/>
  <c r="Q40" i="11"/>
  <c r="T39" i="11"/>
  <c r="U39" i="11" s="1"/>
  <c r="BU24" i="12" s="1"/>
  <c r="Q39" i="11"/>
  <c r="T38" i="11"/>
  <c r="U38" i="11" s="1"/>
  <c r="BU23" i="12" s="1"/>
  <c r="Q38" i="11"/>
  <c r="T37" i="11"/>
  <c r="U37" i="11" s="1"/>
  <c r="BU22" i="12" s="1"/>
  <c r="Q37" i="11"/>
  <c r="T36" i="11"/>
  <c r="U36" i="11" s="1"/>
  <c r="BU21" i="12" s="1"/>
  <c r="Q36" i="11"/>
  <c r="T35" i="11"/>
  <c r="U35" i="11" s="1"/>
  <c r="BU20" i="12" s="1"/>
  <c r="Q35" i="11"/>
  <c r="T34" i="11"/>
  <c r="U34" i="11" s="1"/>
  <c r="BU19" i="12" s="1"/>
  <c r="Q34" i="11"/>
  <c r="T33" i="11"/>
  <c r="U33" i="11" s="1"/>
  <c r="BU18" i="12" s="1"/>
  <c r="Q33" i="11"/>
  <c r="T32" i="11"/>
  <c r="U32" i="11" s="1"/>
  <c r="BU17" i="12" s="1"/>
  <c r="Q32" i="11"/>
  <c r="T31" i="11"/>
  <c r="U31" i="11" s="1"/>
  <c r="BU16" i="12" s="1"/>
  <c r="Q31" i="11"/>
  <c r="T30" i="11"/>
  <c r="U30" i="11" s="1"/>
  <c r="BU15" i="12" s="1"/>
  <c r="Q30" i="11"/>
  <c r="T29" i="11"/>
  <c r="U29" i="11" s="1"/>
  <c r="BU14" i="12" s="1"/>
  <c r="Q29" i="11"/>
  <c r="T28" i="11"/>
  <c r="U28" i="11" s="1"/>
  <c r="BU13" i="12" s="1"/>
  <c r="Q28" i="11"/>
  <c r="T27" i="11"/>
  <c r="U27" i="11" s="1"/>
  <c r="BU12" i="12" s="1"/>
  <c r="Q27" i="11"/>
  <c r="T26" i="11"/>
  <c r="U26" i="11" s="1"/>
  <c r="BU11" i="12" s="1"/>
  <c r="Q26" i="11"/>
  <c r="T25" i="11"/>
  <c r="U25" i="11" s="1"/>
  <c r="BU10" i="12" s="1"/>
  <c r="Q25" i="11"/>
  <c r="T24" i="11"/>
  <c r="U24" i="11" s="1"/>
  <c r="BU9" i="12" s="1"/>
  <c r="Q24" i="11"/>
  <c r="T23" i="11"/>
  <c r="U23" i="11" s="1"/>
  <c r="BU8" i="12" s="1"/>
  <c r="Q23" i="11"/>
  <c r="T22" i="11"/>
  <c r="U22" i="11" s="1"/>
  <c r="BU7" i="12" s="1"/>
  <c r="Q22" i="11"/>
  <c r="T21" i="11"/>
  <c r="U21" i="11" s="1"/>
  <c r="BU6" i="12" s="1"/>
  <c r="Q21" i="11"/>
  <c r="T20" i="11"/>
  <c r="U20" i="11" s="1"/>
  <c r="BU5" i="12" s="1"/>
  <c r="Q20" i="11"/>
  <c r="T19" i="11"/>
  <c r="U19" i="11" s="1"/>
  <c r="BU4" i="12" s="1"/>
  <c r="Q19" i="11"/>
  <c r="BV4" i="12"/>
  <c r="BV5" i="12"/>
  <c r="BV6" i="12"/>
  <c r="BV7" i="12"/>
  <c r="BV8" i="12"/>
  <c r="BV9" i="12"/>
  <c r="BV10" i="12"/>
  <c r="BV11" i="12"/>
  <c r="BV12" i="12"/>
  <c r="BV13" i="12"/>
  <c r="BV14" i="12"/>
  <c r="BV15" i="12"/>
  <c r="BV16" i="12"/>
  <c r="BV17" i="12"/>
  <c r="BV18" i="12"/>
  <c r="BV19" i="12"/>
  <c r="BV20" i="12"/>
  <c r="BV21" i="12"/>
  <c r="BV22" i="12"/>
  <c r="BV23" i="12"/>
  <c r="BV24" i="12"/>
  <c r="BV25" i="12"/>
  <c r="BV26" i="12"/>
  <c r="BV27" i="12"/>
  <c r="BV28" i="12"/>
  <c r="BV29" i="12"/>
  <c r="BV30" i="12"/>
  <c r="BV31" i="12"/>
  <c r="BV32" i="12"/>
  <c r="BV33" i="12"/>
  <c r="BV34" i="12"/>
  <c r="BV35" i="12"/>
  <c r="BV36" i="12"/>
  <c r="BV37" i="12"/>
  <c r="BV38" i="12"/>
  <c r="BV39" i="12"/>
  <c r="BV40" i="12"/>
  <c r="BV41" i="12"/>
  <c r="BV42" i="12"/>
  <c r="BV43" i="12"/>
  <c r="BV44" i="12"/>
  <c r="BV45" i="12"/>
  <c r="BV46" i="12"/>
  <c r="BV47" i="12"/>
  <c r="BV48" i="12"/>
  <c r="BV49" i="12"/>
  <c r="BV50" i="12"/>
  <c r="BV51" i="12"/>
  <c r="BV52" i="12"/>
  <c r="BV53" i="12"/>
  <c r="BV54" i="12"/>
  <c r="BV55" i="12"/>
  <c r="BV56" i="12"/>
  <c r="BV57" i="12"/>
  <c r="BV58" i="12"/>
  <c r="BV59" i="12"/>
  <c r="BV60" i="12"/>
  <c r="BV61" i="12"/>
  <c r="BV62" i="12"/>
  <c r="BV63" i="12"/>
  <c r="BV64" i="12"/>
  <c r="BV65" i="12"/>
  <c r="BV66" i="12"/>
  <c r="BV67" i="12"/>
  <c r="BV68" i="12"/>
  <c r="BV69" i="12"/>
  <c r="BV70" i="12"/>
  <c r="BV71" i="12"/>
  <c r="BV72" i="12"/>
  <c r="BV73" i="12"/>
  <c r="BV74" i="12"/>
  <c r="BV75" i="12"/>
  <c r="BV76" i="12"/>
  <c r="BV77" i="12"/>
  <c r="BV78" i="12"/>
  <c r="BV79" i="12"/>
  <c r="BV80" i="12"/>
  <c r="BV81" i="12"/>
  <c r="BV82" i="12"/>
  <c r="BV83" i="12"/>
  <c r="BV84" i="12"/>
  <c r="BV85" i="12"/>
  <c r="BV86" i="12"/>
  <c r="BV87" i="12"/>
  <c r="AD4" i="12"/>
  <c r="P4" i="12"/>
  <c r="O4" i="12"/>
  <c r="AE4" i="12" s="1"/>
  <c r="BD4" i="12"/>
  <c r="BI4" i="12"/>
  <c r="BN4" i="12"/>
  <c r="BS4" i="12"/>
  <c r="AD5" i="12"/>
  <c r="P5" i="12"/>
  <c r="O5" i="12"/>
  <c r="AE5" i="12" s="1"/>
  <c r="BD5" i="12"/>
  <c r="BI5" i="12"/>
  <c r="BN5" i="12"/>
  <c r="BS5" i="12"/>
  <c r="AD6" i="12"/>
  <c r="P6" i="12"/>
  <c r="O6" i="12"/>
  <c r="AE6" i="12" s="1"/>
  <c r="BD6" i="12"/>
  <c r="BI6" i="12"/>
  <c r="BN6" i="12"/>
  <c r="BS6" i="12"/>
  <c r="AD7" i="12"/>
  <c r="P7" i="12"/>
  <c r="O7" i="12"/>
  <c r="AE7" i="12" s="1"/>
  <c r="BD7" i="12"/>
  <c r="BI7" i="12"/>
  <c r="BN7" i="12"/>
  <c r="BS7" i="12"/>
  <c r="AD8" i="12"/>
  <c r="P8" i="12"/>
  <c r="O8" i="12"/>
  <c r="AE8" i="12" s="1"/>
  <c r="BD8" i="12"/>
  <c r="BI8" i="12"/>
  <c r="BN8" i="12"/>
  <c r="BS8" i="12"/>
  <c r="AD9" i="12"/>
  <c r="P9" i="12"/>
  <c r="O9" i="12"/>
  <c r="AE9" i="12" s="1"/>
  <c r="BD9" i="12"/>
  <c r="BI9" i="12"/>
  <c r="BN9" i="12"/>
  <c r="BS9" i="12"/>
  <c r="AD10" i="12"/>
  <c r="P10" i="12"/>
  <c r="O10" i="12"/>
  <c r="AE10" i="12" s="1"/>
  <c r="BD10" i="12"/>
  <c r="BI10" i="12"/>
  <c r="BN10" i="12"/>
  <c r="BS10" i="12"/>
  <c r="AD11" i="12"/>
  <c r="P11" i="12"/>
  <c r="O11" i="12"/>
  <c r="AE11" i="12" s="1"/>
  <c r="BD11" i="12"/>
  <c r="BI11" i="12"/>
  <c r="BN11" i="12"/>
  <c r="BS11" i="12"/>
  <c r="AD12" i="12"/>
  <c r="P12" i="12"/>
  <c r="O12" i="12"/>
  <c r="AE12" i="12" s="1"/>
  <c r="BD12" i="12"/>
  <c r="BI12" i="12"/>
  <c r="BN12" i="12"/>
  <c r="BS12" i="12"/>
  <c r="AD13" i="12"/>
  <c r="P13" i="12"/>
  <c r="O13" i="12"/>
  <c r="AE13" i="12" s="1"/>
  <c r="BD13" i="12"/>
  <c r="BI13" i="12"/>
  <c r="BN13" i="12"/>
  <c r="BS13" i="12"/>
  <c r="AD14" i="12"/>
  <c r="P14" i="12"/>
  <c r="O14" i="12"/>
  <c r="AE14" i="12" s="1"/>
  <c r="BD14" i="12"/>
  <c r="BI14" i="12"/>
  <c r="BN14" i="12"/>
  <c r="BS14" i="12"/>
  <c r="AD15" i="12"/>
  <c r="P15" i="12"/>
  <c r="O15" i="12"/>
  <c r="AE15" i="12" s="1"/>
  <c r="BD15" i="12"/>
  <c r="BI15" i="12"/>
  <c r="BN15" i="12"/>
  <c r="BS15" i="12"/>
  <c r="AD16" i="12"/>
  <c r="P16" i="12"/>
  <c r="O16" i="12"/>
  <c r="AE16" i="12" s="1"/>
  <c r="BD16" i="12"/>
  <c r="BI16" i="12"/>
  <c r="BN16" i="12"/>
  <c r="BS16" i="12"/>
  <c r="AD17" i="12"/>
  <c r="P17" i="12"/>
  <c r="O17" i="12"/>
  <c r="AE17" i="12" s="1"/>
  <c r="BD17" i="12"/>
  <c r="BI17" i="12"/>
  <c r="BN17" i="12"/>
  <c r="BS17" i="12"/>
  <c r="AD18" i="12"/>
  <c r="P18" i="12"/>
  <c r="O18" i="12"/>
  <c r="AE18" i="12" s="1"/>
  <c r="BD18" i="12"/>
  <c r="BI18" i="12"/>
  <c r="BN18" i="12"/>
  <c r="BS18" i="12"/>
  <c r="AD19" i="12"/>
  <c r="P19" i="12"/>
  <c r="O19" i="12"/>
  <c r="AE19" i="12" s="1"/>
  <c r="BD19" i="12"/>
  <c r="BI19" i="12"/>
  <c r="BN19" i="12"/>
  <c r="BS19" i="12"/>
  <c r="AD20" i="12"/>
  <c r="P20" i="12"/>
  <c r="O20" i="12"/>
  <c r="AE20" i="12" s="1"/>
  <c r="BD20" i="12"/>
  <c r="BI20" i="12"/>
  <c r="BN20" i="12"/>
  <c r="BS20" i="12"/>
  <c r="AD21" i="12"/>
  <c r="P21" i="12"/>
  <c r="O21" i="12"/>
  <c r="AE21" i="12" s="1"/>
  <c r="BD21" i="12"/>
  <c r="BI21" i="12"/>
  <c r="BN21" i="12"/>
  <c r="BS21" i="12"/>
  <c r="AD22" i="12"/>
  <c r="P22" i="12"/>
  <c r="O22" i="12"/>
  <c r="AE22" i="12" s="1"/>
  <c r="BD22" i="12"/>
  <c r="BI22" i="12"/>
  <c r="BN22" i="12"/>
  <c r="BS22" i="12"/>
  <c r="AD23" i="12"/>
  <c r="P23" i="12"/>
  <c r="O23" i="12"/>
  <c r="AE23" i="12" s="1"/>
  <c r="BD23" i="12"/>
  <c r="BI23" i="12"/>
  <c r="BN23" i="12"/>
  <c r="BS23" i="12"/>
  <c r="AD24" i="12"/>
  <c r="P24" i="12"/>
  <c r="O24" i="12"/>
  <c r="AE24" i="12" s="1"/>
  <c r="BD24" i="12"/>
  <c r="BI24" i="12"/>
  <c r="BN24" i="12"/>
  <c r="BS24" i="12"/>
  <c r="AD25" i="12"/>
  <c r="P25" i="12"/>
  <c r="O25" i="12"/>
  <c r="AE25" i="12" s="1"/>
  <c r="BD25" i="12"/>
  <c r="BI25" i="12"/>
  <c r="BN25" i="12"/>
  <c r="BS25" i="12"/>
  <c r="AD26" i="12"/>
  <c r="P26" i="12"/>
  <c r="O26" i="12"/>
  <c r="AE26" i="12" s="1"/>
  <c r="BD26" i="12"/>
  <c r="BI26" i="12"/>
  <c r="BN26" i="12"/>
  <c r="BS26" i="12"/>
  <c r="AD27" i="12"/>
  <c r="P27" i="12"/>
  <c r="O27" i="12"/>
  <c r="AE27" i="12" s="1"/>
  <c r="BD27" i="12"/>
  <c r="BI27" i="12"/>
  <c r="BN27" i="12"/>
  <c r="BS27" i="12"/>
  <c r="AD28" i="12"/>
  <c r="P28" i="12"/>
  <c r="O28" i="12"/>
  <c r="AE28" i="12" s="1"/>
  <c r="BD28" i="12"/>
  <c r="BI28" i="12"/>
  <c r="BN28" i="12"/>
  <c r="BS28" i="12"/>
  <c r="AD29" i="12"/>
  <c r="P29" i="12"/>
  <c r="O29" i="12"/>
  <c r="AE29" i="12" s="1"/>
  <c r="BD29" i="12"/>
  <c r="BI29" i="12"/>
  <c r="BN29" i="12"/>
  <c r="BS29" i="12"/>
  <c r="AD30" i="12"/>
  <c r="P30" i="12"/>
  <c r="O30" i="12"/>
  <c r="AE30" i="12" s="1"/>
  <c r="BD30" i="12"/>
  <c r="BI30" i="12"/>
  <c r="BN30" i="12"/>
  <c r="BS30" i="12"/>
  <c r="AD31" i="12"/>
  <c r="P31" i="12"/>
  <c r="O31" i="12"/>
  <c r="AE31" i="12" s="1"/>
  <c r="BD31" i="12"/>
  <c r="BI31" i="12"/>
  <c r="BN31" i="12"/>
  <c r="BS31" i="12"/>
  <c r="AD32" i="12"/>
  <c r="P32" i="12"/>
  <c r="O32" i="12"/>
  <c r="AE32" i="12" s="1"/>
  <c r="BD32" i="12"/>
  <c r="BI32" i="12"/>
  <c r="BN32" i="12"/>
  <c r="BS32" i="12"/>
  <c r="AD33" i="12"/>
  <c r="P33" i="12"/>
  <c r="O33" i="12"/>
  <c r="AE33" i="12" s="1"/>
  <c r="BD33" i="12"/>
  <c r="BI33" i="12"/>
  <c r="BN33" i="12"/>
  <c r="BS33" i="12"/>
  <c r="AD34" i="12"/>
  <c r="P34" i="12"/>
  <c r="O34" i="12"/>
  <c r="AE34" i="12" s="1"/>
  <c r="BD34" i="12"/>
  <c r="BI34" i="12"/>
  <c r="BN34" i="12"/>
  <c r="BS34" i="12"/>
  <c r="AD35" i="12"/>
  <c r="P35" i="12"/>
  <c r="O35" i="12"/>
  <c r="AE35" i="12" s="1"/>
  <c r="BD35" i="12"/>
  <c r="BI35" i="12"/>
  <c r="BN35" i="12"/>
  <c r="BS35" i="12"/>
  <c r="AD36" i="12"/>
  <c r="P36" i="12"/>
  <c r="O36" i="12"/>
  <c r="AE36" i="12" s="1"/>
  <c r="BD36" i="12"/>
  <c r="BI36" i="12"/>
  <c r="BN36" i="12"/>
  <c r="BS36" i="12"/>
  <c r="AD37" i="12"/>
  <c r="P37" i="12"/>
  <c r="O37" i="12"/>
  <c r="AE37" i="12" s="1"/>
  <c r="BD37" i="12"/>
  <c r="BI37" i="12"/>
  <c r="BN37" i="12"/>
  <c r="BS37" i="12"/>
  <c r="AD38" i="12"/>
  <c r="P38" i="12"/>
  <c r="O38" i="12"/>
  <c r="AE38" i="12" s="1"/>
  <c r="BD38" i="12"/>
  <c r="BI38" i="12"/>
  <c r="BN38" i="12"/>
  <c r="BS38" i="12"/>
  <c r="AD39" i="12"/>
  <c r="P39" i="12"/>
  <c r="O39" i="12"/>
  <c r="AE39" i="12" s="1"/>
  <c r="BD39" i="12"/>
  <c r="BI39" i="12"/>
  <c r="BN39" i="12"/>
  <c r="BS39" i="12"/>
  <c r="AD40" i="12"/>
  <c r="P40" i="12"/>
  <c r="O40" i="12"/>
  <c r="AE40" i="12" s="1"/>
  <c r="BD40" i="12"/>
  <c r="BI40" i="12"/>
  <c r="BN40" i="12"/>
  <c r="BS40" i="12"/>
  <c r="AD41" i="12"/>
  <c r="P41" i="12"/>
  <c r="O41" i="12"/>
  <c r="AE41" i="12" s="1"/>
  <c r="BD41" i="12"/>
  <c r="BI41" i="12"/>
  <c r="BN41" i="12"/>
  <c r="BS41" i="12"/>
  <c r="AD42" i="12"/>
  <c r="P42" i="12"/>
  <c r="O42" i="12"/>
  <c r="AE42" i="12" s="1"/>
  <c r="BD42" i="12"/>
  <c r="BI42" i="12"/>
  <c r="BN42" i="12"/>
  <c r="BS42" i="12"/>
  <c r="AD43" i="12"/>
  <c r="P43" i="12"/>
  <c r="O43" i="12"/>
  <c r="AE43" i="12" s="1"/>
  <c r="BD43" i="12"/>
  <c r="BI43" i="12"/>
  <c r="BN43" i="12"/>
  <c r="BS43" i="12"/>
  <c r="AD44" i="12"/>
  <c r="P44" i="12"/>
  <c r="O44" i="12"/>
  <c r="AE44" i="12" s="1"/>
  <c r="BD44" i="12"/>
  <c r="BI44" i="12"/>
  <c r="BN44" i="12"/>
  <c r="BS44" i="12"/>
  <c r="AD45" i="12"/>
  <c r="P45" i="12"/>
  <c r="O45" i="12"/>
  <c r="AE45" i="12" s="1"/>
  <c r="BD45" i="12"/>
  <c r="BI45" i="12"/>
  <c r="BN45" i="12"/>
  <c r="BS45" i="12"/>
  <c r="AD46" i="12"/>
  <c r="P46" i="12"/>
  <c r="O46" i="12"/>
  <c r="AE46" i="12" s="1"/>
  <c r="BD46" i="12"/>
  <c r="BI46" i="12"/>
  <c r="BN46" i="12"/>
  <c r="BS46" i="12"/>
  <c r="AD47" i="12"/>
  <c r="P47" i="12"/>
  <c r="O47" i="12"/>
  <c r="AE47" i="12" s="1"/>
  <c r="BD47" i="12"/>
  <c r="BI47" i="12"/>
  <c r="BN47" i="12"/>
  <c r="BS47" i="12"/>
  <c r="AD48" i="12"/>
  <c r="P48" i="12"/>
  <c r="O48" i="12"/>
  <c r="AE48" i="12" s="1"/>
  <c r="BD48" i="12"/>
  <c r="BI48" i="12"/>
  <c r="BN48" i="12"/>
  <c r="BS48" i="12"/>
  <c r="AD49" i="12"/>
  <c r="P49" i="12"/>
  <c r="O49" i="12"/>
  <c r="AE49" i="12" s="1"/>
  <c r="BD49" i="12"/>
  <c r="BI49" i="12"/>
  <c r="BN49" i="12"/>
  <c r="BS49" i="12"/>
  <c r="AD50" i="12"/>
  <c r="P50" i="12"/>
  <c r="O50" i="12"/>
  <c r="AE50" i="12" s="1"/>
  <c r="BD50" i="12"/>
  <c r="BI50" i="12"/>
  <c r="BN50" i="12"/>
  <c r="BS50" i="12"/>
  <c r="AD51" i="12"/>
  <c r="P51" i="12"/>
  <c r="O51" i="12"/>
  <c r="AE51" i="12" s="1"/>
  <c r="BD51" i="12"/>
  <c r="BI51" i="12"/>
  <c r="BN51" i="12"/>
  <c r="BS51" i="12"/>
  <c r="AD52" i="12"/>
  <c r="P52" i="12"/>
  <c r="O52" i="12"/>
  <c r="AE52" i="12" s="1"/>
  <c r="BD52" i="12"/>
  <c r="BI52" i="12"/>
  <c r="BN52" i="12"/>
  <c r="BS52" i="12"/>
  <c r="AD53" i="12"/>
  <c r="P53" i="12"/>
  <c r="O53" i="12"/>
  <c r="AE53" i="12" s="1"/>
  <c r="BD53" i="12"/>
  <c r="BI53" i="12"/>
  <c r="BN53" i="12"/>
  <c r="BS53" i="12"/>
  <c r="AD54" i="12"/>
  <c r="P54" i="12"/>
  <c r="O54" i="12"/>
  <c r="AE54" i="12" s="1"/>
  <c r="BD54" i="12"/>
  <c r="BI54" i="12"/>
  <c r="BN54" i="12"/>
  <c r="BS54" i="12"/>
  <c r="AD55" i="12"/>
  <c r="P55" i="12"/>
  <c r="O55" i="12"/>
  <c r="AE55" i="12" s="1"/>
  <c r="BD55" i="12"/>
  <c r="BI55" i="12"/>
  <c r="BN55" i="12"/>
  <c r="BS55" i="12"/>
  <c r="AD56" i="12"/>
  <c r="P56" i="12"/>
  <c r="O56" i="12"/>
  <c r="AE56" i="12" s="1"/>
  <c r="BD56" i="12"/>
  <c r="BI56" i="12"/>
  <c r="BN56" i="12"/>
  <c r="BS56" i="12"/>
  <c r="AD57" i="12"/>
  <c r="P57" i="12"/>
  <c r="O57" i="12"/>
  <c r="AE57" i="12" s="1"/>
  <c r="BD57" i="12"/>
  <c r="BI57" i="12"/>
  <c r="BN57" i="12"/>
  <c r="BS57" i="12"/>
  <c r="AD58" i="12"/>
  <c r="P58" i="12"/>
  <c r="O58" i="12"/>
  <c r="AE58" i="12" s="1"/>
  <c r="BD58" i="12"/>
  <c r="BI58" i="12"/>
  <c r="BN58" i="12"/>
  <c r="BS58" i="12"/>
  <c r="AD59" i="12"/>
  <c r="P59" i="12"/>
  <c r="O59" i="12"/>
  <c r="AE59" i="12" s="1"/>
  <c r="BD59" i="12"/>
  <c r="BI59" i="12"/>
  <c r="BN59" i="12"/>
  <c r="BS59" i="12"/>
  <c r="AD60" i="12"/>
  <c r="P60" i="12"/>
  <c r="O60" i="12"/>
  <c r="AE60" i="12" s="1"/>
  <c r="BD60" i="12"/>
  <c r="BI60" i="12"/>
  <c r="BN60" i="12"/>
  <c r="BS60" i="12"/>
  <c r="AD61" i="12"/>
  <c r="P61" i="12"/>
  <c r="O61" i="12"/>
  <c r="AE61" i="12" s="1"/>
  <c r="BD61" i="12"/>
  <c r="BI61" i="12"/>
  <c r="BN61" i="12"/>
  <c r="BS61" i="12"/>
  <c r="AD62" i="12"/>
  <c r="P62" i="12"/>
  <c r="O62" i="12"/>
  <c r="AE62" i="12" s="1"/>
  <c r="BD62" i="12"/>
  <c r="BI62" i="12"/>
  <c r="BN62" i="12"/>
  <c r="BS62" i="12"/>
  <c r="AD63" i="12"/>
  <c r="P63" i="12"/>
  <c r="O63" i="12"/>
  <c r="AE63" i="12" s="1"/>
  <c r="BD63" i="12"/>
  <c r="BI63" i="12"/>
  <c r="BN63" i="12"/>
  <c r="BS63" i="12"/>
  <c r="AD64" i="12"/>
  <c r="P64" i="12"/>
  <c r="O64" i="12"/>
  <c r="AE64" i="12" s="1"/>
  <c r="BD64" i="12"/>
  <c r="BI64" i="12"/>
  <c r="BN64" i="12"/>
  <c r="BS64" i="12"/>
  <c r="AD65" i="12"/>
  <c r="P65" i="12"/>
  <c r="O65" i="12"/>
  <c r="AE65" i="12" s="1"/>
  <c r="BD65" i="12"/>
  <c r="BI65" i="12"/>
  <c r="BN65" i="12"/>
  <c r="BS65" i="12"/>
  <c r="AD66" i="12"/>
  <c r="P66" i="12"/>
  <c r="O66" i="12"/>
  <c r="AE66" i="12" s="1"/>
  <c r="BD66" i="12"/>
  <c r="BI66" i="12"/>
  <c r="BN66" i="12"/>
  <c r="BS66" i="12"/>
  <c r="AD67" i="12"/>
  <c r="P67" i="12"/>
  <c r="O67" i="12"/>
  <c r="AE67" i="12" s="1"/>
  <c r="BD67" i="12"/>
  <c r="BI67" i="12"/>
  <c r="BN67" i="12"/>
  <c r="BS67" i="12"/>
  <c r="AD68" i="12"/>
  <c r="P68" i="12"/>
  <c r="O68" i="12"/>
  <c r="AE68" i="12" s="1"/>
  <c r="BD68" i="12"/>
  <c r="BI68" i="12"/>
  <c r="BN68" i="12"/>
  <c r="BS68" i="12"/>
  <c r="AD69" i="12"/>
  <c r="P69" i="12"/>
  <c r="O69" i="12"/>
  <c r="AE69" i="12" s="1"/>
  <c r="BD69" i="12"/>
  <c r="BI69" i="12"/>
  <c r="BN69" i="12"/>
  <c r="BS69" i="12"/>
  <c r="AD70" i="12"/>
  <c r="P70" i="12"/>
  <c r="O70" i="12"/>
  <c r="AE70" i="12" s="1"/>
  <c r="BD70" i="12"/>
  <c r="BI70" i="12"/>
  <c r="BN70" i="12"/>
  <c r="BS70" i="12"/>
  <c r="AD71" i="12"/>
  <c r="P71" i="12"/>
  <c r="O71" i="12"/>
  <c r="AE71" i="12" s="1"/>
  <c r="BD71" i="12"/>
  <c r="BI71" i="12"/>
  <c r="BN71" i="12"/>
  <c r="BS71" i="12"/>
  <c r="AD72" i="12"/>
  <c r="P72" i="12"/>
  <c r="O72" i="12"/>
  <c r="AE72" i="12" s="1"/>
  <c r="BD72" i="12"/>
  <c r="BI72" i="12"/>
  <c r="BN72" i="12"/>
  <c r="BS72" i="12"/>
  <c r="AD73" i="12"/>
  <c r="P73" i="12"/>
  <c r="O73" i="12"/>
  <c r="AE73" i="12" s="1"/>
  <c r="BD73" i="12"/>
  <c r="BI73" i="12"/>
  <c r="BN73" i="12"/>
  <c r="BS73" i="12"/>
  <c r="AD74" i="12"/>
  <c r="P74" i="12"/>
  <c r="O74" i="12"/>
  <c r="AE74" i="12" s="1"/>
  <c r="BD74" i="12"/>
  <c r="BI74" i="12"/>
  <c r="BN74" i="12"/>
  <c r="BS74" i="12"/>
  <c r="AD75" i="12"/>
  <c r="P75" i="12"/>
  <c r="O75" i="12"/>
  <c r="AE75" i="12" s="1"/>
  <c r="BD75" i="12"/>
  <c r="BI75" i="12"/>
  <c r="BN75" i="12"/>
  <c r="BS75" i="12"/>
  <c r="AD76" i="12"/>
  <c r="P76" i="12"/>
  <c r="O76" i="12"/>
  <c r="AE76" i="12" s="1"/>
  <c r="BD76" i="12"/>
  <c r="BI76" i="12"/>
  <c r="BN76" i="12"/>
  <c r="BS76" i="12"/>
  <c r="AD77" i="12"/>
  <c r="P77" i="12"/>
  <c r="O77" i="12"/>
  <c r="AE77" i="12" s="1"/>
  <c r="BD77" i="12"/>
  <c r="BI77" i="12"/>
  <c r="BN77" i="12"/>
  <c r="BS77" i="12"/>
  <c r="AD78" i="12"/>
  <c r="P78" i="12"/>
  <c r="O78" i="12"/>
  <c r="AE78" i="12" s="1"/>
  <c r="BD78" i="12"/>
  <c r="BI78" i="12"/>
  <c r="BN78" i="12"/>
  <c r="BS78" i="12"/>
  <c r="AD79" i="12"/>
  <c r="P79" i="12"/>
  <c r="O79" i="12"/>
  <c r="AE79" i="12" s="1"/>
  <c r="BD79" i="12"/>
  <c r="BI79" i="12"/>
  <c r="BN79" i="12"/>
  <c r="BS79" i="12"/>
  <c r="AD80" i="12"/>
  <c r="P80" i="12"/>
  <c r="O80" i="12"/>
  <c r="AE80" i="12" s="1"/>
  <c r="BD80" i="12"/>
  <c r="BI80" i="12"/>
  <c r="BN80" i="12"/>
  <c r="BS80" i="12"/>
  <c r="AD81" i="12"/>
  <c r="P81" i="12"/>
  <c r="O81" i="12"/>
  <c r="AE81" i="12" s="1"/>
  <c r="BD81" i="12"/>
  <c r="BI81" i="12"/>
  <c r="BN81" i="12"/>
  <c r="BS81" i="12"/>
  <c r="AD82" i="12"/>
  <c r="P82" i="12"/>
  <c r="O82" i="12"/>
  <c r="AE82" i="12" s="1"/>
  <c r="BD82" i="12"/>
  <c r="BI82" i="12"/>
  <c r="BN82" i="12"/>
  <c r="BS82" i="12"/>
  <c r="AD83" i="12"/>
  <c r="P83" i="12"/>
  <c r="O83" i="12"/>
  <c r="AE83" i="12" s="1"/>
  <c r="BD83" i="12"/>
  <c r="BI83" i="12"/>
  <c r="BN83" i="12"/>
  <c r="BS83" i="12"/>
  <c r="AD84" i="12"/>
  <c r="P84" i="12"/>
  <c r="O84" i="12"/>
  <c r="AE84" i="12" s="1"/>
  <c r="BD84" i="12"/>
  <c r="BI84" i="12"/>
  <c r="BN84" i="12"/>
  <c r="BS84" i="12"/>
  <c r="AD85" i="12"/>
  <c r="P85" i="12"/>
  <c r="O85" i="12"/>
  <c r="AE85" i="12" s="1"/>
  <c r="BD85" i="12"/>
  <c r="BI85" i="12"/>
  <c r="BN85" i="12"/>
  <c r="BS85" i="12"/>
  <c r="AD86" i="12"/>
  <c r="P86" i="12"/>
  <c r="O86" i="12"/>
  <c r="AE86" i="12" s="1"/>
  <c r="BD86" i="12"/>
  <c r="BI86" i="12"/>
  <c r="BN86" i="12"/>
  <c r="BS86" i="12"/>
  <c r="AD87" i="12"/>
  <c r="P87" i="12"/>
  <c r="O87" i="12"/>
  <c r="AE87" i="12" s="1"/>
  <c r="BD87" i="12"/>
  <c r="BI87" i="12"/>
  <c r="BN87" i="12"/>
  <c r="BS87" i="12"/>
  <c r="BT87" i="12" l="1"/>
  <c r="BR87" i="12"/>
  <c r="BO87" i="12"/>
  <c r="BM87" i="12"/>
  <c r="BJ87" i="12"/>
  <c r="BH87" i="12"/>
  <c r="BE87" i="12"/>
  <c r="BC87" i="12"/>
  <c r="AF87" i="12"/>
  <c r="Q87" i="12"/>
  <c r="BT86" i="12"/>
  <c r="BR86" i="12"/>
  <c r="BO86" i="12"/>
  <c r="BM86" i="12"/>
  <c r="BJ86" i="12"/>
  <c r="BH86" i="12"/>
  <c r="BE86" i="12"/>
  <c r="BC86" i="12"/>
  <c r="AF86" i="12"/>
  <c r="Q86" i="12"/>
  <c r="BT85" i="12"/>
  <c r="BR85" i="12"/>
  <c r="BO85" i="12"/>
  <c r="BM85" i="12"/>
  <c r="BJ85" i="12"/>
  <c r="BH85" i="12"/>
  <c r="BE85" i="12"/>
  <c r="BC85" i="12"/>
  <c r="AF85" i="12"/>
  <c r="Q85" i="12"/>
  <c r="BT84" i="12"/>
  <c r="BR84" i="12"/>
  <c r="BO84" i="12"/>
  <c r="BM84" i="12"/>
  <c r="BJ84" i="12"/>
  <c r="BH84" i="12"/>
  <c r="BE84" i="12"/>
  <c r="BC84" i="12"/>
  <c r="AF84" i="12"/>
  <c r="Q84" i="12"/>
  <c r="BT83" i="12"/>
  <c r="BR83" i="12"/>
  <c r="BO83" i="12"/>
  <c r="BM83" i="12"/>
  <c r="BJ83" i="12"/>
  <c r="BH83" i="12"/>
  <c r="BE83" i="12"/>
  <c r="BC83" i="12"/>
  <c r="AF83" i="12"/>
  <c r="Q83" i="12"/>
  <c r="BT82" i="12"/>
  <c r="BR82" i="12"/>
  <c r="BO82" i="12"/>
  <c r="BM82" i="12"/>
  <c r="BJ82" i="12"/>
  <c r="BH82" i="12"/>
  <c r="BE82" i="12"/>
  <c r="BC82" i="12"/>
  <c r="AF82" i="12"/>
  <c r="Q82" i="12"/>
  <c r="BT81" i="12"/>
  <c r="BR81" i="12"/>
  <c r="BO81" i="12"/>
  <c r="BM81" i="12"/>
  <c r="BJ81" i="12"/>
  <c r="BH81" i="12"/>
  <c r="BE81" i="12"/>
  <c r="BC81" i="12"/>
  <c r="AF81" i="12"/>
  <c r="Q81" i="12"/>
  <c r="BT80" i="12"/>
  <c r="BR80" i="12"/>
  <c r="BO80" i="12"/>
  <c r="BM80" i="12"/>
  <c r="BJ80" i="12"/>
  <c r="BH80" i="12"/>
  <c r="BE80" i="12"/>
  <c r="BC80" i="12"/>
  <c r="AF80" i="12"/>
  <c r="Q80" i="12"/>
  <c r="BT79" i="12"/>
  <c r="BR79" i="12"/>
  <c r="BO79" i="12"/>
  <c r="BM79" i="12"/>
  <c r="BJ79" i="12"/>
  <c r="BH79" i="12"/>
  <c r="BE79" i="12"/>
  <c r="BC79" i="12"/>
  <c r="AF79" i="12"/>
  <c r="Q79" i="12"/>
  <c r="BT78" i="12"/>
  <c r="BR78" i="12"/>
  <c r="BO78" i="12"/>
  <c r="BM78" i="12"/>
  <c r="BJ78" i="12"/>
  <c r="BH78" i="12"/>
  <c r="BE78" i="12"/>
  <c r="BC78" i="12"/>
  <c r="AF78" i="12"/>
  <c r="Q78" i="12"/>
  <c r="BT77" i="12"/>
  <c r="BR77" i="12"/>
  <c r="BO77" i="12"/>
  <c r="BM77" i="12"/>
  <c r="BJ77" i="12"/>
  <c r="BH77" i="12"/>
  <c r="BE77" i="12"/>
  <c r="BC77" i="12"/>
  <c r="AF77" i="12"/>
  <c r="Q77" i="12"/>
  <c r="BT76" i="12"/>
  <c r="BR76" i="12"/>
  <c r="BO76" i="12"/>
  <c r="BM76" i="12"/>
  <c r="BJ76" i="12"/>
  <c r="BH76" i="12"/>
  <c r="BE76" i="12"/>
  <c r="BC76" i="12"/>
  <c r="AF76" i="12"/>
  <c r="Q76" i="12"/>
  <c r="BT75" i="12"/>
  <c r="BR75" i="12"/>
  <c r="BO75" i="12"/>
  <c r="BM75" i="12"/>
  <c r="BJ75" i="12"/>
  <c r="BH75" i="12"/>
  <c r="BE75" i="12"/>
  <c r="BC75" i="12"/>
  <c r="AF75" i="12"/>
  <c r="Q75" i="12"/>
  <c r="BT74" i="12"/>
  <c r="BR74" i="12"/>
  <c r="BO74" i="12"/>
  <c r="BM74" i="12"/>
  <c r="BJ74" i="12"/>
  <c r="BH74" i="12"/>
  <c r="BE74" i="12"/>
  <c r="BC74" i="12"/>
  <c r="AF74" i="12"/>
  <c r="Q74" i="12"/>
  <c r="BT73" i="12"/>
  <c r="BR73" i="12"/>
  <c r="BO73" i="12"/>
  <c r="BM73" i="12"/>
  <c r="BJ73" i="12"/>
  <c r="BH73" i="12"/>
  <c r="BE73" i="12"/>
  <c r="BC73" i="12"/>
  <c r="AF73" i="12"/>
  <c r="Q73" i="12"/>
  <c r="BT72" i="12"/>
  <c r="BR72" i="12"/>
  <c r="BO72" i="12"/>
  <c r="BM72" i="12"/>
  <c r="BJ72" i="12"/>
  <c r="BH72" i="12"/>
  <c r="BE72" i="12"/>
  <c r="BC72" i="12"/>
  <c r="AF72" i="12"/>
  <c r="Q72" i="12"/>
  <c r="BT71" i="12"/>
  <c r="BR71" i="12"/>
  <c r="BO71" i="12"/>
  <c r="BM71" i="12"/>
  <c r="BJ71" i="12"/>
  <c r="BH71" i="12"/>
  <c r="BE71" i="12"/>
  <c r="BC71" i="12"/>
  <c r="AF71" i="12"/>
  <c r="Q71" i="12"/>
  <c r="BT70" i="12"/>
  <c r="BR70" i="12"/>
  <c r="BO70" i="12"/>
  <c r="BM70" i="12"/>
  <c r="BJ70" i="12"/>
  <c r="BH70" i="12"/>
  <c r="BE70" i="12"/>
  <c r="BC70" i="12"/>
  <c r="AF70" i="12"/>
  <c r="Q70" i="12"/>
  <c r="BT69" i="12"/>
  <c r="BR69" i="12"/>
  <c r="BO69" i="12"/>
  <c r="BM69" i="12"/>
  <c r="BJ69" i="12"/>
  <c r="BH69" i="12"/>
  <c r="BE69" i="12"/>
  <c r="BC69" i="12"/>
  <c r="AF69" i="12"/>
  <c r="Q69" i="12"/>
  <c r="BT68" i="12"/>
  <c r="BR68" i="12"/>
  <c r="BO68" i="12"/>
  <c r="BM68" i="12"/>
  <c r="BJ68" i="12"/>
  <c r="BH68" i="12"/>
  <c r="BE68" i="12"/>
  <c r="BC68" i="12"/>
  <c r="AF68" i="12"/>
  <c r="Q68" i="12"/>
  <c r="BT67" i="12"/>
  <c r="BR67" i="12"/>
  <c r="BO67" i="12"/>
  <c r="BM67" i="12"/>
  <c r="BJ67" i="12"/>
  <c r="BH67" i="12"/>
  <c r="BE67" i="12"/>
  <c r="BC67" i="12"/>
  <c r="AF67" i="12"/>
  <c r="Q67" i="12"/>
  <c r="BT66" i="12"/>
  <c r="BR66" i="12"/>
  <c r="BO66" i="12"/>
  <c r="BM66" i="12"/>
  <c r="BJ66" i="12"/>
  <c r="BH66" i="12"/>
  <c r="BE66" i="12"/>
  <c r="BC66" i="12"/>
  <c r="AF66" i="12"/>
  <c r="Q66" i="12"/>
  <c r="BT65" i="12"/>
  <c r="BR65" i="12"/>
  <c r="BO65" i="12"/>
  <c r="BM65" i="12"/>
  <c r="BJ65" i="12"/>
  <c r="BH65" i="12"/>
  <c r="BE65" i="12"/>
  <c r="BC65" i="12"/>
  <c r="AF65" i="12"/>
  <c r="Q65" i="12"/>
  <c r="BT64" i="12"/>
  <c r="BR64" i="12"/>
  <c r="BO64" i="12"/>
  <c r="BM64" i="12"/>
  <c r="BJ64" i="12"/>
  <c r="BH64" i="12"/>
  <c r="BE64" i="12"/>
  <c r="BC64" i="12"/>
  <c r="AF64" i="12"/>
  <c r="Q64" i="12"/>
  <c r="BT63" i="12"/>
  <c r="BR63" i="12"/>
  <c r="BO63" i="12"/>
  <c r="BM63" i="12"/>
  <c r="BJ63" i="12"/>
  <c r="BH63" i="12"/>
  <c r="BE63" i="12"/>
  <c r="BC63" i="12"/>
  <c r="AF63" i="12"/>
  <c r="Q63" i="12"/>
  <c r="BT62" i="12"/>
  <c r="BR62" i="12"/>
  <c r="BO62" i="12"/>
  <c r="BM62" i="12"/>
  <c r="BJ62" i="12"/>
  <c r="BH62" i="12"/>
  <c r="BE62" i="12"/>
  <c r="BC62" i="12"/>
  <c r="AF62" i="12"/>
  <c r="Q62" i="12"/>
  <c r="BT61" i="12"/>
  <c r="BR61" i="12"/>
  <c r="BO61" i="12"/>
  <c r="BM61" i="12"/>
  <c r="BJ61" i="12"/>
  <c r="BH61" i="12"/>
  <c r="BE61" i="12"/>
  <c r="BC61" i="12"/>
  <c r="AF61" i="12"/>
  <c r="Q61" i="12"/>
  <c r="BT60" i="12"/>
  <c r="BR60" i="12"/>
  <c r="BO60" i="12"/>
  <c r="BM60" i="12"/>
  <c r="BJ60" i="12"/>
  <c r="BH60" i="12"/>
  <c r="BE60" i="12"/>
  <c r="BC60" i="12"/>
  <c r="AF60" i="12"/>
  <c r="Q60" i="12"/>
  <c r="BT59" i="12"/>
  <c r="BR59" i="12"/>
  <c r="BO59" i="12"/>
  <c r="BM59" i="12"/>
  <c r="BJ59" i="12"/>
  <c r="BH59" i="12"/>
  <c r="BE59" i="12"/>
  <c r="BC59" i="12"/>
  <c r="AF59" i="12"/>
  <c r="Q59" i="12"/>
  <c r="BT58" i="12"/>
  <c r="BR58" i="12"/>
  <c r="BO58" i="12"/>
  <c r="BM58" i="12"/>
  <c r="BJ58" i="12"/>
  <c r="BH58" i="12"/>
  <c r="BE58" i="12"/>
  <c r="BC58" i="12"/>
  <c r="AF58" i="12"/>
  <c r="Q58" i="12"/>
  <c r="BT57" i="12"/>
  <c r="BR57" i="12"/>
  <c r="BO57" i="12"/>
  <c r="BM57" i="12"/>
  <c r="BJ57" i="12"/>
  <c r="BH57" i="12"/>
  <c r="BE57" i="12"/>
  <c r="BC57" i="12"/>
  <c r="AF57" i="12"/>
  <c r="Q57" i="12"/>
  <c r="BT56" i="12"/>
  <c r="BR56" i="12"/>
  <c r="BO56" i="12"/>
  <c r="BM56" i="12"/>
  <c r="BJ56" i="12"/>
  <c r="BH56" i="12"/>
  <c r="BE56" i="12"/>
  <c r="BC56" i="12"/>
  <c r="AF56" i="12"/>
  <c r="Q56" i="12"/>
  <c r="BT55" i="12"/>
  <c r="BR55" i="12"/>
  <c r="BO55" i="12"/>
  <c r="BM55" i="12"/>
  <c r="BJ55" i="12"/>
  <c r="BH55" i="12"/>
  <c r="BE55" i="12"/>
  <c r="BC55" i="12"/>
  <c r="AF55" i="12"/>
  <c r="Q55" i="12"/>
  <c r="BT54" i="12"/>
  <c r="BR54" i="12"/>
  <c r="BO54" i="12"/>
  <c r="BM54" i="12"/>
  <c r="BJ54" i="12"/>
  <c r="BH54" i="12"/>
  <c r="BE54" i="12"/>
  <c r="BC54" i="12"/>
  <c r="AF54" i="12"/>
  <c r="Q54" i="12"/>
  <c r="BT53" i="12"/>
  <c r="BR53" i="12"/>
  <c r="BO53" i="12"/>
  <c r="BM53" i="12"/>
  <c r="BJ53" i="12"/>
  <c r="BH53" i="12"/>
  <c r="BE53" i="12"/>
  <c r="BC53" i="12"/>
  <c r="AF53" i="12"/>
  <c r="Q53" i="12"/>
  <c r="BT52" i="12"/>
  <c r="BR52" i="12"/>
  <c r="BO52" i="12"/>
  <c r="BM52" i="12"/>
  <c r="BJ52" i="12"/>
  <c r="BH52" i="12"/>
  <c r="BE52" i="12"/>
  <c r="BC52" i="12"/>
  <c r="AF52" i="12"/>
  <c r="Q52" i="12"/>
  <c r="BT51" i="12"/>
  <c r="BR51" i="12"/>
  <c r="BO51" i="12"/>
  <c r="BM51" i="12"/>
  <c r="BJ51" i="12"/>
  <c r="BH51" i="12"/>
  <c r="BE51" i="12"/>
  <c r="BC51" i="12"/>
  <c r="AF51" i="12"/>
  <c r="Q51" i="12"/>
  <c r="BT50" i="12"/>
  <c r="BR50" i="12"/>
  <c r="BO50" i="12"/>
  <c r="BM50" i="12"/>
  <c r="BJ50" i="12"/>
  <c r="BH50" i="12"/>
  <c r="BE50" i="12"/>
  <c r="BC50" i="12"/>
  <c r="AF50" i="12"/>
  <c r="Q50" i="12"/>
  <c r="BT49" i="12"/>
  <c r="BR49" i="12"/>
  <c r="BO49" i="12"/>
  <c r="BM49" i="12"/>
  <c r="BJ49" i="12"/>
  <c r="BH49" i="12"/>
  <c r="BE49" i="12"/>
  <c r="BC49" i="12"/>
  <c r="AF49" i="12"/>
  <c r="Q49" i="12"/>
  <c r="BT48" i="12"/>
  <c r="BR48" i="12"/>
  <c r="BO48" i="12"/>
  <c r="BM48" i="12"/>
  <c r="BJ48" i="12"/>
  <c r="BH48" i="12"/>
  <c r="BE48" i="12"/>
  <c r="BC48" i="12"/>
  <c r="AF48" i="12"/>
  <c r="Q48" i="12"/>
  <c r="BT47" i="12"/>
  <c r="BR47" i="12"/>
  <c r="BO47" i="12"/>
  <c r="BM47" i="12"/>
  <c r="BJ47" i="12"/>
  <c r="BH47" i="12"/>
  <c r="BE47" i="12"/>
  <c r="BC47" i="12"/>
  <c r="AF47" i="12"/>
  <c r="Q47" i="12"/>
  <c r="BT46" i="12"/>
  <c r="BR46" i="12"/>
  <c r="BO46" i="12"/>
  <c r="BM46" i="12"/>
  <c r="BJ46" i="12"/>
  <c r="BH46" i="12"/>
  <c r="BE46" i="12"/>
  <c r="BC46" i="12"/>
  <c r="AF46" i="12"/>
  <c r="Q46" i="12"/>
  <c r="BT45" i="12"/>
  <c r="BR45" i="12"/>
  <c r="BO45" i="12"/>
  <c r="BM45" i="12"/>
  <c r="BJ45" i="12"/>
  <c r="BH45" i="12"/>
  <c r="BE45" i="12"/>
  <c r="BC45" i="12"/>
  <c r="AF45" i="12"/>
  <c r="Q45" i="12"/>
  <c r="BT44" i="12"/>
  <c r="BR44" i="12"/>
  <c r="BO44" i="12"/>
  <c r="BM44" i="12"/>
  <c r="BJ44" i="12"/>
  <c r="BH44" i="12"/>
  <c r="BE44" i="12"/>
  <c r="BC44" i="12"/>
  <c r="AF44" i="12"/>
  <c r="Q44" i="12"/>
  <c r="BT43" i="12"/>
  <c r="BR43" i="12"/>
  <c r="BO43" i="12"/>
  <c r="BM43" i="12"/>
  <c r="BJ43" i="12"/>
  <c r="BH43" i="12"/>
  <c r="BE43" i="12"/>
  <c r="BC43" i="12"/>
  <c r="AF43" i="12"/>
  <c r="Q43" i="12"/>
  <c r="BT42" i="12"/>
  <c r="BR42" i="12"/>
  <c r="BO42" i="12"/>
  <c r="BM42" i="12"/>
  <c r="BJ42" i="12"/>
  <c r="BH42" i="12"/>
  <c r="BE42" i="12"/>
  <c r="BC42" i="12"/>
  <c r="AF42" i="12"/>
  <c r="Q42" i="12"/>
  <c r="BT41" i="12"/>
  <c r="BR41" i="12"/>
  <c r="BO41" i="12"/>
  <c r="BM41" i="12"/>
  <c r="BJ41" i="12"/>
  <c r="BH41" i="12"/>
  <c r="BE41" i="12"/>
  <c r="BC41" i="12"/>
  <c r="AF41" i="12"/>
  <c r="Q41" i="12"/>
  <c r="BT40" i="12"/>
  <c r="BR40" i="12"/>
  <c r="BO40" i="12"/>
  <c r="BM40" i="12"/>
  <c r="BJ40" i="12"/>
  <c r="BH40" i="12"/>
  <c r="BE40" i="12"/>
  <c r="BC40" i="12"/>
  <c r="AF40" i="12"/>
  <c r="Q40" i="12"/>
  <c r="BT39" i="12"/>
  <c r="BR39" i="12"/>
  <c r="BO39" i="12"/>
  <c r="BM39" i="12"/>
  <c r="BJ39" i="12"/>
  <c r="BH39" i="12"/>
  <c r="BE39" i="12"/>
  <c r="BC39" i="12"/>
  <c r="AF39" i="12"/>
  <c r="Q39" i="12"/>
  <c r="BT38" i="12"/>
  <c r="BR38" i="12"/>
  <c r="BO38" i="12"/>
  <c r="BM38" i="12"/>
  <c r="BJ38" i="12"/>
  <c r="BH38" i="12"/>
  <c r="BE38" i="12"/>
  <c r="BC38" i="12"/>
  <c r="AF38" i="12"/>
  <c r="Q38" i="12"/>
  <c r="BT37" i="12"/>
  <c r="BR37" i="12"/>
  <c r="BO37" i="12"/>
  <c r="BM37" i="12"/>
  <c r="BJ37" i="12"/>
  <c r="BH37" i="12"/>
  <c r="BE37" i="12"/>
  <c r="BC37" i="12"/>
  <c r="AF37" i="12"/>
  <c r="Q37" i="12"/>
  <c r="BT36" i="12"/>
  <c r="BR36" i="12"/>
  <c r="BO36" i="12"/>
  <c r="BM36" i="12"/>
  <c r="BJ36" i="12"/>
  <c r="BH36" i="12"/>
  <c r="BE36" i="12"/>
  <c r="BC36" i="12"/>
  <c r="AF36" i="12"/>
  <c r="Q36" i="12"/>
  <c r="BT35" i="12"/>
  <c r="BR35" i="12"/>
  <c r="BO35" i="12"/>
  <c r="BM35" i="12"/>
  <c r="BJ35" i="12"/>
  <c r="BH35" i="12"/>
  <c r="BE35" i="12"/>
  <c r="BC35" i="12"/>
  <c r="AF35" i="12"/>
  <c r="Q35" i="12"/>
  <c r="BT34" i="12"/>
  <c r="BR34" i="12"/>
  <c r="BO34" i="12"/>
  <c r="BM34" i="12"/>
  <c r="BJ34" i="12"/>
  <c r="BH34" i="12"/>
  <c r="BE34" i="12"/>
  <c r="BC34" i="12"/>
  <c r="AF34" i="12"/>
  <c r="Q34" i="12"/>
  <c r="BT33" i="12"/>
  <c r="BR33" i="12"/>
  <c r="BO33" i="12"/>
  <c r="BM33" i="12"/>
  <c r="BJ33" i="12"/>
  <c r="BH33" i="12"/>
  <c r="BE33" i="12"/>
  <c r="BC33" i="12"/>
  <c r="AF33" i="12"/>
  <c r="Q33" i="12"/>
  <c r="BT32" i="12"/>
  <c r="BR32" i="12"/>
  <c r="BO32" i="12"/>
  <c r="BM32" i="12"/>
  <c r="BJ32" i="12"/>
  <c r="BH32" i="12"/>
  <c r="BE32" i="12"/>
  <c r="BC32" i="12"/>
  <c r="AF32" i="12"/>
  <c r="Q32" i="12"/>
  <c r="BT31" i="12"/>
  <c r="BR31" i="12"/>
  <c r="BO31" i="12"/>
  <c r="BM31" i="12"/>
  <c r="BJ31" i="12"/>
  <c r="BH31" i="12"/>
  <c r="BE31" i="12"/>
  <c r="BC31" i="12"/>
  <c r="AF31" i="12"/>
  <c r="Q31" i="12"/>
  <c r="BT30" i="12"/>
  <c r="BR30" i="12"/>
  <c r="BO30" i="12"/>
  <c r="BM30" i="12"/>
  <c r="BJ30" i="12"/>
  <c r="BH30" i="12"/>
  <c r="BE30" i="12"/>
  <c r="BC30" i="12"/>
  <c r="AF30" i="12"/>
  <c r="Q30" i="12"/>
  <c r="BT29" i="12"/>
  <c r="BR29" i="12"/>
  <c r="BO29" i="12"/>
  <c r="BM29" i="12"/>
  <c r="BJ29" i="12"/>
  <c r="BH29" i="12"/>
  <c r="BE29" i="12"/>
  <c r="BC29" i="12"/>
  <c r="AF29" i="12"/>
  <c r="Q29" i="12"/>
  <c r="BT28" i="12"/>
  <c r="BR28" i="12"/>
  <c r="BO28" i="12"/>
  <c r="BM28" i="12"/>
  <c r="BJ28" i="12"/>
  <c r="BH28" i="12"/>
  <c r="BE28" i="12"/>
  <c r="BC28" i="12"/>
  <c r="AF28" i="12"/>
  <c r="Q28" i="12"/>
  <c r="BT27" i="12"/>
  <c r="BR27" i="12"/>
  <c r="BO27" i="12"/>
  <c r="BM27" i="12"/>
  <c r="BJ27" i="12"/>
  <c r="BH27" i="12"/>
  <c r="BE27" i="12"/>
  <c r="BC27" i="12"/>
  <c r="AF27" i="12"/>
  <c r="Q27" i="12"/>
  <c r="BT26" i="12"/>
  <c r="BR26" i="12"/>
  <c r="BO26" i="12"/>
  <c r="BM26" i="12"/>
  <c r="BJ26" i="12"/>
  <c r="BH26" i="12"/>
  <c r="BE26" i="12"/>
  <c r="BC26" i="12"/>
  <c r="AF26" i="12"/>
  <c r="Q26" i="12"/>
  <c r="BT25" i="12"/>
  <c r="BR25" i="12"/>
  <c r="BO25" i="12"/>
  <c r="BM25" i="12"/>
  <c r="BJ25" i="12"/>
  <c r="BH25" i="12"/>
  <c r="BE25" i="12"/>
  <c r="BC25" i="12"/>
  <c r="AF25" i="12"/>
  <c r="Q25" i="12"/>
  <c r="BT24" i="12"/>
  <c r="BR24" i="12"/>
  <c r="BO24" i="12"/>
  <c r="BM24" i="12"/>
  <c r="BJ24" i="12"/>
  <c r="BH24" i="12"/>
  <c r="BE24" i="12"/>
  <c r="BC24" i="12"/>
  <c r="AF24" i="12"/>
  <c r="Q24" i="12"/>
  <c r="BT23" i="12"/>
  <c r="BR23" i="12"/>
  <c r="BO23" i="12"/>
  <c r="BM23" i="12"/>
  <c r="BJ23" i="12"/>
  <c r="BH23" i="12"/>
  <c r="BE23" i="12"/>
  <c r="BC23" i="12"/>
  <c r="AF23" i="12"/>
  <c r="Q23" i="12"/>
  <c r="BT22" i="12"/>
  <c r="BR22" i="12"/>
  <c r="BO22" i="12"/>
  <c r="BM22" i="12"/>
  <c r="BJ22" i="12"/>
  <c r="BH22" i="12"/>
  <c r="BE22" i="12"/>
  <c r="BC22" i="12"/>
  <c r="AF22" i="12"/>
  <c r="Q22" i="12"/>
  <c r="BT21" i="12"/>
  <c r="BR21" i="12"/>
  <c r="BO21" i="12"/>
  <c r="BM21" i="12"/>
  <c r="BJ21" i="12"/>
  <c r="BH21" i="12"/>
  <c r="BE21" i="12"/>
  <c r="BC21" i="12"/>
  <c r="AF21" i="12"/>
  <c r="Q21" i="12"/>
  <c r="BT20" i="12"/>
  <c r="BR20" i="12"/>
  <c r="BO20" i="12"/>
  <c r="BM20" i="12"/>
  <c r="BJ20" i="12"/>
  <c r="BH20" i="12"/>
  <c r="BE20" i="12"/>
  <c r="BC20" i="12"/>
  <c r="AF20" i="12"/>
  <c r="Q20" i="12"/>
  <c r="BT19" i="12"/>
  <c r="BR19" i="12"/>
  <c r="BO19" i="12"/>
  <c r="BM19" i="12"/>
  <c r="BJ19" i="12"/>
  <c r="BH19" i="12"/>
  <c r="BE19" i="12"/>
  <c r="BC19" i="12"/>
  <c r="AF19" i="12"/>
  <c r="Q19" i="12"/>
  <c r="BT18" i="12"/>
  <c r="BR18" i="12"/>
  <c r="BO18" i="12"/>
  <c r="BM18" i="12"/>
  <c r="BJ18" i="12"/>
  <c r="BH18" i="12"/>
  <c r="BE18" i="12"/>
  <c r="BC18" i="12"/>
  <c r="AF18" i="12"/>
  <c r="Q18" i="12"/>
  <c r="BT17" i="12"/>
  <c r="BR17" i="12"/>
  <c r="BO17" i="12"/>
  <c r="BM17" i="12"/>
  <c r="BJ17" i="12"/>
  <c r="BH17" i="12"/>
  <c r="BE17" i="12"/>
  <c r="BC17" i="12"/>
  <c r="AF17" i="12"/>
  <c r="Q17" i="12"/>
  <c r="BT16" i="12"/>
  <c r="BR16" i="12"/>
  <c r="BO16" i="12"/>
  <c r="BM16" i="12"/>
  <c r="BJ16" i="12"/>
  <c r="BH16" i="12"/>
  <c r="BE16" i="12"/>
  <c r="BC16" i="12"/>
  <c r="AF16" i="12"/>
  <c r="Q16" i="12"/>
  <c r="BT15" i="12"/>
  <c r="BR15" i="12"/>
  <c r="BO15" i="12"/>
  <c r="BM15" i="12"/>
  <c r="BJ15" i="12"/>
  <c r="BH15" i="12"/>
  <c r="BE15" i="12"/>
  <c r="BC15" i="12"/>
  <c r="AF15" i="12"/>
  <c r="Q15" i="12"/>
  <c r="BT14" i="12"/>
  <c r="BR14" i="12"/>
  <c r="BO14" i="12"/>
  <c r="BM14" i="12"/>
  <c r="BJ14" i="12"/>
  <c r="BH14" i="12"/>
  <c r="BE14" i="12"/>
  <c r="BC14" i="12"/>
  <c r="AF14" i="12"/>
  <c r="Q14" i="12"/>
  <c r="BT13" i="12"/>
  <c r="BR13" i="12"/>
  <c r="BO13" i="12"/>
  <c r="BM13" i="12"/>
  <c r="BJ13" i="12"/>
  <c r="BH13" i="12"/>
  <c r="BE13" i="12"/>
  <c r="BC13" i="12"/>
  <c r="AF13" i="12"/>
  <c r="Q13" i="12"/>
  <c r="BT12" i="12"/>
  <c r="BR12" i="12"/>
  <c r="BO12" i="12"/>
  <c r="BM12" i="12"/>
  <c r="BJ12" i="12"/>
  <c r="BH12" i="12"/>
  <c r="BE12" i="12"/>
  <c r="BC12" i="12"/>
  <c r="AF12" i="12"/>
  <c r="Q12" i="12"/>
  <c r="BT11" i="12"/>
  <c r="BR11" i="12"/>
  <c r="BO11" i="12"/>
  <c r="BM11" i="12"/>
  <c r="BJ11" i="12"/>
  <c r="BH11" i="12"/>
  <c r="BE11" i="12"/>
  <c r="BC11" i="12"/>
  <c r="AF11" i="12"/>
  <c r="Q11" i="12"/>
  <c r="BT10" i="12"/>
  <c r="BR10" i="12"/>
  <c r="BO10" i="12"/>
  <c r="BM10" i="12"/>
  <c r="BJ10" i="12"/>
  <c r="BH10" i="12"/>
  <c r="BE10" i="12"/>
  <c r="BC10" i="12"/>
  <c r="AF10" i="12"/>
  <c r="Q10" i="12"/>
  <c r="BT9" i="12"/>
  <c r="BR9" i="12"/>
  <c r="BO9" i="12"/>
  <c r="BM9" i="12"/>
  <c r="BJ9" i="12"/>
  <c r="BH9" i="12"/>
  <c r="BE9" i="12"/>
  <c r="BC9" i="12"/>
  <c r="AF9" i="12"/>
  <c r="Q9" i="12"/>
  <c r="BT8" i="12"/>
  <c r="BR8" i="12"/>
  <c r="BO8" i="12"/>
  <c r="BM8" i="12"/>
  <c r="BJ8" i="12"/>
  <c r="BH8" i="12"/>
  <c r="BE8" i="12"/>
  <c r="BC8" i="12"/>
  <c r="AF8" i="12"/>
  <c r="Q8" i="12"/>
  <c r="BT7" i="12"/>
  <c r="BR7" i="12"/>
  <c r="BO7" i="12"/>
  <c r="BM7" i="12"/>
  <c r="BJ7" i="12"/>
  <c r="BH7" i="12"/>
  <c r="BE7" i="12"/>
  <c r="BC7" i="12"/>
  <c r="AF7" i="12"/>
  <c r="Q7" i="12"/>
  <c r="BT6" i="12"/>
  <c r="BR6" i="12"/>
  <c r="BO6" i="12"/>
  <c r="BM6" i="12"/>
  <c r="BJ6" i="12"/>
  <c r="BH6" i="12"/>
  <c r="BE6" i="12"/>
  <c r="BC6" i="12"/>
  <c r="AF6" i="12"/>
  <c r="Q6" i="12"/>
  <c r="BT5" i="12"/>
  <c r="BR5" i="12"/>
  <c r="BO5" i="12"/>
  <c r="BM5" i="12"/>
  <c r="BJ5" i="12"/>
  <c r="BH5" i="12"/>
  <c r="BE5" i="12"/>
  <c r="BC5" i="12"/>
  <c r="AF5" i="12"/>
  <c r="Q5" i="12"/>
  <c r="BT4" i="12"/>
  <c r="BR4" i="12"/>
  <c r="BO4" i="12"/>
  <c r="BM4" i="12"/>
  <c r="BJ4" i="12"/>
  <c r="BH4" i="12"/>
  <c r="BE4" i="12"/>
  <c r="BC4" i="12"/>
  <c r="AF4" i="12"/>
  <c r="Q4" i="12"/>
  <c r="BX4" i="12"/>
  <c r="BX5" i="12"/>
  <c r="BX6" i="12"/>
  <c r="BX7" i="12"/>
  <c r="BX8" i="12"/>
  <c r="BX9" i="12"/>
  <c r="BX10" i="12"/>
  <c r="BX11" i="12"/>
  <c r="BX12" i="12"/>
  <c r="BX13" i="12"/>
  <c r="BX14" i="12"/>
  <c r="BX15" i="12"/>
  <c r="BX16" i="12"/>
  <c r="BX17" i="12"/>
  <c r="BX18" i="12"/>
  <c r="BX19" i="12"/>
  <c r="BX20" i="12"/>
  <c r="BX21" i="12"/>
  <c r="BX22" i="12"/>
  <c r="BX23" i="12"/>
  <c r="BX24" i="12"/>
  <c r="BX25" i="12"/>
  <c r="BX26" i="12"/>
  <c r="BX27" i="12"/>
  <c r="BX28" i="12"/>
  <c r="BX29" i="12"/>
  <c r="BX30" i="12"/>
  <c r="BX31" i="12"/>
  <c r="BX32" i="12"/>
  <c r="BX33" i="12"/>
  <c r="BX34" i="12"/>
  <c r="BX35" i="12"/>
  <c r="BX36" i="12"/>
  <c r="BX37" i="12"/>
  <c r="BX38" i="12"/>
  <c r="BX39" i="12"/>
  <c r="BX40" i="12"/>
  <c r="BX41" i="12"/>
  <c r="BX42" i="12"/>
  <c r="BX43" i="12"/>
  <c r="BX44" i="12"/>
  <c r="BX45" i="12"/>
  <c r="BX46" i="12"/>
  <c r="BX47" i="12"/>
  <c r="BX48" i="12"/>
  <c r="BX49" i="12"/>
  <c r="BX50" i="12"/>
  <c r="BX51" i="12"/>
  <c r="BX52" i="12"/>
  <c r="BX53" i="12"/>
  <c r="BX54" i="12"/>
  <c r="BX55" i="12"/>
  <c r="BX56" i="12"/>
  <c r="BX57" i="12"/>
  <c r="BX58" i="12"/>
  <c r="BX59" i="12"/>
  <c r="BX60" i="12"/>
  <c r="BX61" i="12"/>
  <c r="BX62" i="12"/>
  <c r="BX63" i="12"/>
  <c r="BX64" i="12"/>
  <c r="BX65" i="12"/>
  <c r="BX66" i="12"/>
  <c r="BX67" i="12"/>
  <c r="BX68" i="12"/>
  <c r="BX69" i="12"/>
  <c r="BX70" i="12"/>
  <c r="BX71" i="12"/>
  <c r="BX72" i="12"/>
  <c r="BX73" i="12"/>
  <c r="BX74" i="12"/>
  <c r="BX75" i="12"/>
  <c r="BX76" i="12"/>
  <c r="BX77" i="12"/>
  <c r="BX78" i="12"/>
  <c r="BX79" i="12"/>
  <c r="BX80" i="12"/>
  <c r="BX81" i="12"/>
  <c r="BX82" i="12"/>
  <c r="BX83" i="12"/>
  <c r="BX84" i="12"/>
  <c r="BX85" i="12"/>
  <c r="BX86" i="12"/>
  <c r="BX87" i="12"/>
  <c r="N85" i="3"/>
  <c r="O85" i="3"/>
  <c r="N84" i="3"/>
  <c r="O84" i="3"/>
  <c r="N83" i="3"/>
  <c r="O83" i="3"/>
  <c r="N82" i="3"/>
  <c r="O82" i="3"/>
  <c r="N81" i="3"/>
  <c r="O81" i="3"/>
  <c r="N80" i="3"/>
  <c r="O80" i="3"/>
  <c r="N79" i="3"/>
  <c r="O79" i="3"/>
  <c r="N78" i="3"/>
  <c r="O78" i="3"/>
  <c r="N77" i="3"/>
  <c r="O77" i="3"/>
  <c r="N76" i="3"/>
  <c r="O76" i="3"/>
  <c r="N75" i="3"/>
  <c r="O75" i="3"/>
  <c r="N74" i="3"/>
  <c r="O74" i="3"/>
  <c r="N73" i="3"/>
  <c r="O73" i="3"/>
  <c r="N72" i="3"/>
  <c r="O72" i="3"/>
  <c r="N71" i="3"/>
  <c r="O71" i="3"/>
  <c r="N70" i="3"/>
  <c r="O70" i="3"/>
  <c r="N69" i="3"/>
  <c r="O69" i="3"/>
  <c r="N68" i="3"/>
  <c r="O68" i="3"/>
  <c r="N67" i="3"/>
  <c r="O67" i="3"/>
  <c r="N66" i="3"/>
  <c r="O66" i="3"/>
  <c r="N65" i="3"/>
  <c r="O65" i="3"/>
  <c r="N64" i="3"/>
  <c r="O64" i="3"/>
  <c r="N63" i="3"/>
  <c r="O63" i="3"/>
  <c r="N62" i="3"/>
  <c r="O62" i="3"/>
  <c r="N61" i="3"/>
  <c r="O61" i="3"/>
  <c r="N60" i="3"/>
  <c r="O60" i="3"/>
  <c r="N59" i="3"/>
  <c r="O59" i="3"/>
  <c r="N58" i="3"/>
  <c r="O58" i="3"/>
  <c r="N57" i="3"/>
  <c r="O57" i="3"/>
  <c r="N56" i="3"/>
  <c r="O56" i="3"/>
  <c r="N55" i="3"/>
  <c r="O55" i="3"/>
  <c r="N54" i="3"/>
  <c r="O54" i="3"/>
  <c r="N53" i="3"/>
  <c r="O53" i="3"/>
  <c r="N52" i="3"/>
  <c r="O52" i="3"/>
  <c r="N51" i="3"/>
  <c r="O51" i="3"/>
  <c r="N50" i="3"/>
  <c r="O50" i="3"/>
  <c r="N49" i="3"/>
  <c r="O49" i="3"/>
  <c r="N48" i="3"/>
  <c r="O48" i="3"/>
  <c r="N47" i="3"/>
  <c r="O47" i="3"/>
  <c r="N46" i="3"/>
  <c r="O46" i="3"/>
  <c r="N45" i="3"/>
  <c r="O45" i="3"/>
  <c r="N44" i="3"/>
  <c r="O44" i="3"/>
  <c r="N43" i="3"/>
  <c r="O43" i="3"/>
  <c r="N42" i="3"/>
  <c r="O42" i="3"/>
  <c r="N41" i="3"/>
  <c r="O41" i="3"/>
  <c r="N40" i="3"/>
  <c r="O40" i="3"/>
  <c r="N39" i="3"/>
  <c r="O39" i="3"/>
  <c r="N38" i="3"/>
  <c r="O38" i="3"/>
  <c r="N37" i="3"/>
  <c r="O37" i="3"/>
  <c r="N36" i="3"/>
  <c r="O36" i="3"/>
  <c r="N35" i="3"/>
  <c r="O35" i="3"/>
  <c r="N34" i="3"/>
  <c r="O34" i="3"/>
  <c r="N33" i="3"/>
  <c r="O33" i="3"/>
  <c r="N32" i="3"/>
  <c r="O32" i="3"/>
  <c r="N31" i="3"/>
  <c r="O31" i="3"/>
  <c r="N30" i="3"/>
  <c r="O30" i="3"/>
  <c r="N29" i="3"/>
  <c r="O29" i="3"/>
  <c r="N28" i="3"/>
  <c r="O28" i="3"/>
  <c r="N27" i="3"/>
  <c r="O27" i="3"/>
  <c r="N26" i="3"/>
  <c r="O26" i="3"/>
  <c r="N25" i="3"/>
  <c r="O25" i="3"/>
  <c r="N24" i="3"/>
  <c r="O24" i="3"/>
  <c r="N23" i="3"/>
  <c r="O23" i="3"/>
  <c r="N22" i="3"/>
  <c r="O22" i="3"/>
  <c r="N21" i="3"/>
  <c r="O21" i="3"/>
  <c r="N20" i="3"/>
  <c r="O20" i="3"/>
  <c r="N19" i="3"/>
  <c r="O19" i="3"/>
  <c r="N18" i="3"/>
  <c r="O18" i="3"/>
  <c r="N17" i="3"/>
  <c r="O17" i="3"/>
  <c r="N16" i="3"/>
  <c r="O16" i="3"/>
  <c r="N15" i="3"/>
  <c r="O15" i="3"/>
  <c r="N14" i="3"/>
  <c r="O14" i="3"/>
  <c r="N13" i="3"/>
  <c r="O13" i="3"/>
  <c r="N12" i="3"/>
  <c r="O12" i="3"/>
  <c r="N11" i="3"/>
  <c r="O11" i="3"/>
  <c r="N10" i="3"/>
  <c r="O10" i="3"/>
  <c r="N9" i="3"/>
  <c r="O9" i="3"/>
  <c r="N8" i="3"/>
  <c r="O8" i="3"/>
  <c r="N7" i="3"/>
  <c r="O7" i="3"/>
  <c r="N6" i="3"/>
  <c r="O6" i="3"/>
  <c r="N5" i="3"/>
  <c r="O5" i="3"/>
  <c r="N4" i="3"/>
  <c r="O4" i="3"/>
  <c r="N3" i="3"/>
  <c r="O3" i="3"/>
  <c r="N2" i="3"/>
  <c r="O2" i="3"/>
  <c r="F21" i="1"/>
  <c r="F20" i="1"/>
  <c r="F19" i="1"/>
  <c r="Z2" i="3" l="1"/>
  <c r="Q2" i="3"/>
  <c r="Z3" i="3"/>
  <c r="Q3" i="3"/>
  <c r="Z4" i="3"/>
  <c r="Q4" i="3"/>
  <c r="Z5" i="3"/>
  <c r="Q5" i="3"/>
  <c r="Z6" i="3"/>
  <c r="Q6" i="3"/>
  <c r="Z7" i="3"/>
  <c r="Q7" i="3"/>
  <c r="Z8" i="3"/>
  <c r="Q8" i="3"/>
  <c r="Z9" i="3"/>
  <c r="Q9" i="3"/>
  <c r="Z10" i="3"/>
  <c r="Q10" i="3"/>
  <c r="Z11" i="3"/>
  <c r="Q11" i="3"/>
  <c r="Z12" i="3"/>
  <c r="Q12" i="3"/>
  <c r="Z13" i="3"/>
  <c r="Q13" i="3"/>
  <c r="Z14" i="3"/>
  <c r="Q14" i="3"/>
  <c r="Z15" i="3"/>
  <c r="Q15" i="3"/>
  <c r="Z16" i="3"/>
  <c r="Q16" i="3"/>
  <c r="Z17" i="3"/>
  <c r="Q17" i="3"/>
  <c r="Z18" i="3"/>
  <c r="Q18" i="3"/>
  <c r="Z19" i="3"/>
  <c r="Q19" i="3"/>
  <c r="Z20" i="3"/>
  <c r="Q20" i="3"/>
  <c r="Z21" i="3"/>
  <c r="Q21" i="3"/>
  <c r="Z22" i="3"/>
  <c r="Q22" i="3"/>
  <c r="Z23" i="3"/>
  <c r="Q23" i="3"/>
  <c r="Z24" i="3"/>
  <c r="Q24" i="3"/>
  <c r="Z25" i="3"/>
  <c r="Q25" i="3"/>
  <c r="Z26" i="3"/>
  <c r="Q26" i="3"/>
  <c r="Z27" i="3"/>
  <c r="Q27" i="3"/>
  <c r="Z28" i="3"/>
  <c r="Q28" i="3"/>
  <c r="Z29" i="3"/>
  <c r="Q29" i="3"/>
  <c r="Z30" i="3"/>
  <c r="Q30" i="3"/>
  <c r="Z31" i="3"/>
  <c r="Q31" i="3"/>
  <c r="Z32" i="3"/>
  <c r="Q32" i="3"/>
  <c r="Z33" i="3"/>
  <c r="Q33" i="3"/>
  <c r="Z34" i="3"/>
  <c r="Q34" i="3"/>
  <c r="Z35" i="3"/>
  <c r="Q35" i="3"/>
  <c r="Z36" i="3"/>
  <c r="Q36" i="3"/>
  <c r="Z37" i="3"/>
  <c r="Q37" i="3"/>
  <c r="Z38" i="3"/>
  <c r="Q38" i="3"/>
  <c r="Z39" i="3"/>
  <c r="Q39" i="3"/>
  <c r="Z40" i="3"/>
  <c r="Q40" i="3"/>
  <c r="Z41" i="3"/>
  <c r="Q41" i="3"/>
  <c r="Z42" i="3"/>
  <c r="Q42" i="3"/>
  <c r="Z43" i="3"/>
  <c r="Q43" i="3"/>
  <c r="Z44" i="3"/>
  <c r="Q44" i="3"/>
  <c r="Z45" i="3"/>
  <c r="Q45" i="3"/>
  <c r="Z46" i="3"/>
  <c r="Q46" i="3"/>
  <c r="Z47" i="3"/>
  <c r="Q47" i="3"/>
  <c r="Z48" i="3"/>
  <c r="Q48" i="3"/>
  <c r="Z49" i="3"/>
  <c r="Q49" i="3"/>
  <c r="Z50" i="3"/>
  <c r="Q50" i="3"/>
  <c r="Z51" i="3"/>
  <c r="Q51" i="3"/>
  <c r="Z52" i="3"/>
  <c r="Q52" i="3"/>
  <c r="Z53" i="3"/>
  <c r="Q53" i="3"/>
  <c r="Z54" i="3"/>
  <c r="Q54" i="3"/>
  <c r="Z55" i="3"/>
  <c r="Q55" i="3"/>
  <c r="Z56" i="3"/>
  <c r="Q56" i="3"/>
  <c r="Z57" i="3"/>
  <c r="Q57" i="3"/>
  <c r="Z58" i="3"/>
  <c r="Q58" i="3"/>
  <c r="Z59" i="3"/>
  <c r="Q59" i="3"/>
  <c r="Z60" i="3"/>
  <c r="Q60" i="3"/>
  <c r="Z61" i="3"/>
  <c r="Q61" i="3"/>
  <c r="Z62" i="3"/>
  <c r="Q62" i="3"/>
  <c r="Z63" i="3"/>
  <c r="Q63" i="3"/>
  <c r="Z64" i="3"/>
  <c r="Q64" i="3"/>
  <c r="Z65" i="3"/>
  <c r="Q65" i="3"/>
  <c r="Z66" i="3"/>
  <c r="Q66" i="3"/>
  <c r="Z67" i="3"/>
  <c r="Q67" i="3"/>
  <c r="Z68" i="3"/>
  <c r="Q68" i="3"/>
  <c r="Z69" i="3"/>
  <c r="Q69" i="3"/>
  <c r="Z70" i="3"/>
  <c r="Q70" i="3"/>
  <c r="Z71" i="3"/>
  <c r="Q71" i="3"/>
  <c r="Z72" i="3"/>
  <c r="Q72" i="3"/>
  <c r="Z73" i="3"/>
  <c r="Q73" i="3"/>
  <c r="Z74" i="3"/>
  <c r="Q74" i="3"/>
  <c r="Z75" i="3"/>
  <c r="Q75" i="3"/>
  <c r="Z76" i="3"/>
  <c r="Q76" i="3"/>
  <c r="Z77" i="3"/>
  <c r="Q77" i="3"/>
  <c r="Z78" i="3"/>
  <c r="Q78" i="3"/>
  <c r="Z79" i="3"/>
  <c r="Q79" i="3"/>
  <c r="Z80" i="3"/>
  <c r="Q80" i="3"/>
  <c r="Z81" i="3"/>
  <c r="Q81" i="3"/>
  <c r="Z82" i="3"/>
  <c r="Q82" i="3"/>
  <c r="Z83" i="3"/>
  <c r="Q83" i="3"/>
  <c r="Z84" i="3"/>
  <c r="Q84" i="3"/>
  <c r="Z85" i="3"/>
  <c r="Q85" i="3"/>
  <c r="BY87" i="12"/>
  <c r="BW87" i="12"/>
  <c r="BY86" i="12"/>
  <c r="BW86" i="12"/>
  <c r="BY85" i="12"/>
  <c r="BW85" i="12"/>
  <c r="BY84" i="12"/>
  <c r="BW84" i="12"/>
  <c r="BY83" i="12"/>
  <c r="BW83" i="12"/>
  <c r="BY82" i="12"/>
  <c r="BW82" i="12"/>
  <c r="BY81" i="12"/>
  <c r="BW81" i="12"/>
  <c r="BY80" i="12"/>
  <c r="BW80" i="12"/>
  <c r="BY79" i="12"/>
  <c r="BW79" i="12"/>
  <c r="BY78" i="12"/>
  <c r="BW78" i="12"/>
  <c r="BY77" i="12"/>
  <c r="BW77" i="12"/>
  <c r="BY76" i="12"/>
  <c r="BW76" i="12"/>
  <c r="BY75" i="12"/>
  <c r="BW75" i="12"/>
  <c r="BY74" i="12"/>
  <c r="BW74" i="12"/>
  <c r="BY73" i="12"/>
  <c r="BW73" i="12"/>
  <c r="BY72" i="12"/>
  <c r="BW72" i="12"/>
  <c r="BY71" i="12"/>
  <c r="BW71" i="12"/>
  <c r="BY70" i="12"/>
  <c r="BW70" i="12"/>
  <c r="BY69" i="12"/>
  <c r="BW69" i="12"/>
  <c r="BY68" i="12"/>
  <c r="BW68" i="12"/>
  <c r="BY67" i="12"/>
  <c r="BW67" i="12"/>
  <c r="BY66" i="12"/>
  <c r="BW66" i="12"/>
  <c r="BY65" i="12"/>
  <c r="BW65" i="12"/>
  <c r="BY64" i="12"/>
  <c r="BW64" i="12"/>
  <c r="BY63" i="12"/>
  <c r="BW63" i="12"/>
  <c r="BY62" i="12"/>
  <c r="BW62" i="12"/>
  <c r="BY61" i="12"/>
  <c r="BW61" i="12"/>
  <c r="BY60" i="12"/>
  <c r="BW60" i="12"/>
  <c r="BY59" i="12"/>
  <c r="BW59" i="12"/>
  <c r="BY58" i="12"/>
  <c r="BW58" i="12"/>
  <c r="BY57" i="12"/>
  <c r="BW57" i="12"/>
  <c r="BY56" i="12"/>
  <c r="BW56" i="12"/>
  <c r="BY55" i="12"/>
  <c r="BW55" i="12"/>
  <c r="BY54" i="12"/>
  <c r="BW54" i="12"/>
  <c r="BY53" i="12"/>
  <c r="BW53" i="12"/>
  <c r="BY52" i="12"/>
  <c r="BW52" i="12"/>
  <c r="BY51" i="12"/>
  <c r="BW51" i="12"/>
  <c r="BY50" i="12"/>
  <c r="BW50" i="12"/>
  <c r="BY49" i="12"/>
  <c r="BW49" i="12"/>
  <c r="BY48" i="12"/>
  <c r="BW48" i="12"/>
  <c r="BY47" i="12"/>
  <c r="BW47" i="12"/>
  <c r="BY46" i="12"/>
  <c r="BW46" i="12"/>
  <c r="BY45" i="12"/>
  <c r="BW45" i="12"/>
  <c r="BY44" i="12"/>
  <c r="BW44" i="12"/>
  <c r="BY43" i="12"/>
  <c r="BW43" i="12"/>
  <c r="BY42" i="12"/>
  <c r="BW42" i="12"/>
  <c r="BY41" i="12"/>
  <c r="BW41" i="12"/>
  <c r="BY40" i="12"/>
  <c r="BW40" i="12"/>
  <c r="BY39" i="12"/>
  <c r="BW39" i="12"/>
  <c r="BY38" i="12"/>
  <c r="BW38" i="12"/>
  <c r="BY37" i="12"/>
  <c r="BW37" i="12"/>
  <c r="BY36" i="12"/>
  <c r="BW36" i="12"/>
  <c r="BY35" i="12"/>
  <c r="BW35" i="12"/>
  <c r="BY34" i="12"/>
  <c r="BW34" i="12"/>
  <c r="BY33" i="12"/>
  <c r="BW33" i="12"/>
  <c r="BY32" i="12"/>
  <c r="BW32" i="12"/>
  <c r="BY31" i="12"/>
  <c r="BW31" i="12"/>
  <c r="BY30" i="12"/>
  <c r="BW30" i="12"/>
  <c r="BY29" i="12"/>
  <c r="BW29" i="12"/>
  <c r="BY28" i="12"/>
  <c r="BW28" i="12"/>
  <c r="BY27" i="12"/>
  <c r="BW27" i="12"/>
  <c r="BY26" i="12"/>
  <c r="BW26" i="12"/>
  <c r="BY25" i="12"/>
  <c r="BW25" i="12"/>
  <c r="BY24" i="12"/>
  <c r="BW24" i="12"/>
  <c r="BY23" i="12"/>
  <c r="BW23" i="12"/>
  <c r="BY22" i="12"/>
  <c r="BW22" i="12"/>
  <c r="BY21" i="12"/>
  <c r="BW21" i="12"/>
  <c r="BY20" i="12"/>
  <c r="BW20" i="12"/>
  <c r="BY19" i="12"/>
  <c r="BW19" i="12"/>
  <c r="BY18" i="12"/>
  <c r="BW18" i="12"/>
  <c r="BY17" i="12"/>
  <c r="BW17" i="12"/>
  <c r="BY16" i="12"/>
  <c r="BW16" i="12"/>
  <c r="BY15" i="12"/>
  <c r="BW15" i="12"/>
  <c r="BY14" i="12"/>
  <c r="BW14" i="12"/>
  <c r="BY13" i="12"/>
  <c r="BW13" i="12"/>
  <c r="BY12" i="12"/>
  <c r="BW12" i="12"/>
  <c r="BY11" i="12"/>
  <c r="BW11" i="12"/>
  <c r="BY10" i="12"/>
  <c r="BW10" i="12"/>
  <c r="BY9" i="12"/>
  <c r="BW9" i="12"/>
  <c r="BY8" i="12"/>
  <c r="BW8" i="12"/>
  <c r="BY7" i="12"/>
  <c r="BW7" i="12"/>
  <c r="BY6" i="12"/>
  <c r="BW6" i="12"/>
  <c r="BY5" i="12"/>
  <c r="BW5" i="12"/>
  <c r="BY4" i="12"/>
  <c r="BW4" i="12"/>
  <c r="AG4" i="12"/>
  <c r="R4" i="12"/>
  <c r="AH4" i="12" s="1"/>
  <c r="AG5" i="12"/>
  <c r="R5" i="12"/>
  <c r="AH5" i="12" s="1"/>
  <c r="AG6" i="12"/>
  <c r="R6" i="12"/>
  <c r="AH6" i="12" s="1"/>
  <c r="AG7" i="12"/>
  <c r="R7" i="12"/>
  <c r="AH7" i="12" s="1"/>
  <c r="AG8" i="12"/>
  <c r="R8" i="12"/>
  <c r="AH8" i="12" s="1"/>
  <c r="AG9" i="12"/>
  <c r="R9" i="12"/>
  <c r="AH9" i="12" s="1"/>
  <c r="AG10" i="12"/>
  <c r="R10" i="12"/>
  <c r="AH10" i="12" s="1"/>
  <c r="AG11" i="12"/>
  <c r="R11" i="12"/>
  <c r="AH11" i="12" s="1"/>
  <c r="AG12" i="12"/>
  <c r="R12" i="12"/>
  <c r="AH12" i="12" s="1"/>
  <c r="AG13" i="12"/>
  <c r="R13" i="12"/>
  <c r="AH13" i="12" s="1"/>
  <c r="AG14" i="12"/>
  <c r="R14" i="12"/>
  <c r="AH14" i="12" s="1"/>
  <c r="AG15" i="12"/>
  <c r="R15" i="12"/>
  <c r="AH15" i="12" s="1"/>
  <c r="AG16" i="12"/>
  <c r="R16" i="12"/>
  <c r="AH16" i="12" s="1"/>
  <c r="AG17" i="12"/>
  <c r="R17" i="12"/>
  <c r="AH17" i="12" s="1"/>
  <c r="AG18" i="12"/>
  <c r="R18" i="12"/>
  <c r="AH18" i="12" s="1"/>
  <c r="AG19" i="12"/>
  <c r="R19" i="12"/>
  <c r="AH19" i="12" s="1"/>
  <c r="AG20" i="12"/>
  <c r="R20" i="12"/>
  <c r="AH20" i="12" s="1"/>
  <c r="AG21" i="12"/>
  <c r="R21" i="12"/>
  <c r="AH21" i="12" s="1"/>
  <c r="AG22" i="12"/>
  <c r="R22" i="12"/>
  <c r="AH22" i="12" s="1"/>
  <c r="AG23" i="12"/>
  <c r="R23" i="12"/>
  <c r="AH23" i="12" s="1"/>
  <c r="AG24" i="12"/>
  <c r="R24" i="12"/>
  <c r="AH24" i="12" s="1"/>
  <c r="AG25" i="12"/>
  <c r="R25" i="12"/>
  <c r="AH25" i="12" s="1"/>
  <c r="AG26" i="12"/>
  <c r="R26" i="12"/>
  <c r="AH26" i="12" s="1"/>
  <c r="AG27" i="12"/>
  <c r="R27" i="12"/>
  <c r="AH27" i="12" s="1"/>
  <c r="AG28" i="12"/>
  <c r="R28" i="12"/>
  <c r="AH28" i="12" s="1"/>
  <c r="AG29" i="12"/>
  <c r="R29" i="12"/>
  <c r="AH29" i="12" s="1"/>
  <c r="AG30" i="12"/>
  <c r="R30" i="12"/>
  <c r="AH30" i="12" s="1"/>
  <c r="AG31" i="12"/>
  <c r="R31" i="12"/>
  <c r="AH31" i="12" s="1"/>
  <c r="AG32" i="12"/>
  <c r="R32" i="12"/>
  <c r="AH32" i="12" s="1"/>
  <c r="AG33" i="12"/>
  <c r="R33" i="12"/>
  <c r="AH33" i="12" s="1"/>
  <c r="AG34" i="12"/>
  <c r="R34" i="12"/>
  <c r="AH34" i="12" s="1"/>
  <c r="AG35" i="12"/>
  <c r="R35" i="12"/>
  <c r="AH35" i="12" s="1"/>
  <c r="AG36" i="12"/>
  <c r="R36" i="12"/>
  <c r="AH36" i="12" s="1"/>
  <c r="AG37" i="12"/>
  <c r="R37" i="12"/>
  <c r="AH37" i="12" s="1"/>
  <c r="AG38" i="12"/>
  <c r="R38" i="12"/>
  <c r="AH38" i="12" s="1"/>
  <c r="AG39" i="12"/>
  <c r="R39" i="12"/>
  <c r="AH39" i="12" s="1"/>
  <c r="AG40" i="12"/>
  <c r="R40" i="12"/>
  <c r="AH40" i="12" s="1"/>
  <c r="AG41" i="12"/>
  <c r="R41" i="12"/>
  <c r="AH41" i="12" s="1"/>
  <c r="AG42" i="12"/>
  <c r="R42" i="12"/>
  <c r="AH42" i="12" s="1"/>
  <c r="AG43" i="12"/>
  <c r="R43" i="12"/>
  <c r="AH43" i="12" s="1"/>
  <c r="AG44" i="12"/>
  <c r="R44" i="12"/>
  <c r="AH44" i="12" s="1"/>
  <c r="AG45" i="12"/>
  <c r="R45" i="12"/>
  <c r="AH45" i="12" s="1"/>
  <c r="AG46" i="12"/>
  <c r="R46" i="12"/>
  <c r="AH46" i="12" s="1"/>
  <c r="AG47" i="12"/>
  <c r="R47" i="12"/>
  <c r="AH47" i="12" s="1"/>
  <c r="AG48" i="12"/>
  <c r="R48" i="12"/>
  <c r="AH48" i="12" s="1"/>
  <c r="AG49" i="12"/>
  <c r="R49" i="12"/>
  <c r="AH49" i="12" s="1"/>
  <c r="AG50" i="12"/>
  <c r="R50" i="12"/>
  <c r="AH50" i="12" s="1"/>
  <c r="AG51" i="12"/>
  <c r="R51" i="12"/>
  <c r="AH51" i="12" s="1"/>
  <c r="AG52" i="12"/>
  <c r="R52" i="12"/>
  <c r="AH52" i="12" s="1"/>
  <c r="AG53" i="12"/>
  <c r="R53" i="12"/>
  <c r="AH53" i="12" s="1"/>
  <c r="AG54" i="12"/>
  <c r="R54" i="12"/>
  <c r="AH54" i="12" s="1"/>
  <c r="AG55" i="12"/>
  <c r="R55" i="12"/>
  <c r="AH55" i="12" s="1"/>
  <c r="AG56" i="12"/>
  <c r="R56" i="12"/>
  <c r="AH56" i="12" s="1"/>
  <c r="AG57" i="12"/>
  <c r="R57" i="12"/>
  <c r="AH57" i="12" s="1"/>
  <c r="AG58" i="12"/>
  <c r="R58" i="12"/>
  <c r="AH58" i="12" s="1"/>
  <c r="AG59" i="12"/>
  <c r="R59" i="12"/>
  <c r="AH59" i="12" s="1"/>
  <c r="AG60" i="12"/>
  <c r="R60" i="12"/>
  <c r="AH60" i="12" s="1"/>
  <c r="AG61" i="12"/>
  <c r="R61" i="12"/>
  <c r="AH61" i="12" s="1"/>
  <c r="AG62" i="12"/>
  <c r="R62" i="12"/>
  <c r="AH62" i="12" s="1"/>
  <c r="AG63" i="12"/>
  <c r="R63" i="12"/>
  <c r="AH63" i="12" s="1"/>
  <c r="AG64" i="12"/>
  <c r="R64" i="12"/>
  <c r="AH64" i="12" s="1"/>
  <c r="AG65" i="12"/>
  <c r="R65" i="12"/>
  <c r="AH65" i="12" s="1"/>
  <c r="AG66" i="12"/>
  <c r="R66" i="12"/>
  <c r="AH66" i="12" s="1"/>
  <c r="AG67" i="12"/>
  <c r="R67" i="12"/>
  <c r="AH67" i="12" s="1"/>
  <c r="AG68" i="12"/>
  <c r="R68" i="12"/>
  <c r="AH68" i="12" s="1"/>
  <c r="AG69" i="12"/>
  <c r="R69" i="12"/>
  <c r="AH69" i="12" s="1"/>
  <c r="AG70" i="12"/>
  <c r="R70" i="12"/>
  <c r="AH70" i="12" s="1"/>
  <c r="AG71" i="12"/>
  <c r="R71" i="12"/>
  <c r="AH71" i="12" s="1"/>
  <c r="AG72" i="12"/>
  <c r="R72" i="12"/>
  <c r="AH72" i="12" s="1"/>
  <c r="AG73" i="12"/>
  <c r="R73" i="12"/>
  <c r="AH73" i="12" s="1"/>
  <c r="AG74" i="12"/>
  <c r="R74" i="12"/>
  <c r="AH74" i="12" s="1"/>
  <c r="AG75" i="12"/>
  <c r="R75" i="12"/>
  <c r="AH75" i="12" s="1"/>
  <c r="AG76" i="12"/>
  <c r="R76" i="12"/>
  <c r="AH76" i="12" s="1"/>
  <c r="AG77" i="12"/>
  <c r="R77" i="12"/>
  <c r="AH77" i="12" s="1"/>
  <c r="AG78" i="12"/>
  <c r="R78" i="12"/>
  <c r="AH78" i="12" s="1"/>
  <c r="AG79" i="12"/>
  <c r="R79" i="12"/>
  <c r="AH79" i="12" s="1"/>
  <c r="AG80" i="12"/>
  <c r="R80" i="12"/>
  <c r="AH80" i="12" s="1"/>
  <c r="AG81" i="12"/>
  <c r="R81" i="12"/>
  <c r="AH81" i="12" s="1"/>
  <c r="AG82" i="12"/>
  <c r="R82" i="12"/>
  <c r="AH82" i="12" s="1"/>
  <c r="AG83" i="12"/>
  <c r="R83" i="12"/>
  <c r="AH83" i="12" s="1"/>
  <c r="AG84" i="12"/>
  <c r="R84" i="12"/>
  <c r="AH84" i="12" s="1"/>
  <c r="AG85" i="12"/>
  <c r="R85" i="12"/>
  <c r="AH85" i="12" s="1"/>
  <c r="AG86" i="12"/>
  <c r="R86" i="12"/>
  <c r="AH86" i="12" s="1"/>
  <c r="AG87" i="12"/>
  <c r="R87" i="12"/>
  <c r="AH87" i="12" s="1"/>
</calcChain>
</file>

<file path=xl/sharedStrings.xml><?xml version="1.0" encoding="utf-8"?>
<sst xmlns="http://schemas.openxmlformats.org/spreadsheetml/2006/main" count="777" uniqueCount="130">
  <si>
    <t>Container</t>
  </si>
  <si>
    <t>Empty Mass</t>
  </si>
  <si>
    <t>Measured Soil (g)</t>
  </si>
  <si>
    <t>Measured Sand (g)</t>
  </si>
  <si>
    <t>Treatment</t>
  </si>
  <si>
    <t>Total Soil+Sand (g)</t>
  </si>
  <si>
    <t>Wet Mass (g)</t>
  </si>
  <si>
    <t>Oven Dry Mass (g)</t>
  </si>
  <si>
    <t>Expected Total Mass (g)</t>
  </si>
  <si>
    <t>Measured Total Mass (g)</t>
  </si>
  <si>
    <t>H2O Holding Capacity (mL/g dry soil)</t>
  </si>
  <si>
    <t>TILL</t>
  </si>
  <si>
    <t>NO TILL</t>
  </si>
  <si>
    <t>NTC</t>
  </si>
  <si>
    <t>TREATMENT</t>
  </si>
  <si>
    <t>H2O HOLDING CAPACITY (mL/ g dry soil+sand)</t>
  </si>
  <si>
    <t>区・条件</t>
  </si>
  <si>
    <t>STD ppm</t>
  </si>
  <si>
    <t>year</t>
  </si>
  <si>
    <t>month</t>
  </si>
  <si>
    <t>day</t>
  </si>
  <si>
    <t>hh</t>
  </si>
  <si>
    <t>mm</t>
  </si>
  <si>
    <t>ss</t>
  </si>
  <si>
    <t>sample number</t>
  </si>
  <si>
    <t>CO2rt</t>
  </si>
  <si>
    <t>CO2hi</t>
  </si>
  <si>
    <t>CO2area</t>
  </si>
  <si>
    <t>右は計算領域</t>
  </si>
  <si>
    <t>CO2(ppm)初期標準</t>
  </si>
  <si>
    <t>ドリフト時計算</t>
  </si>
  <si>
    <t>絶対時間（ｈ）</t>
  </si>
  <si>
    <t>ドリフトstd factor</t>
  </si>
  <si>
    <t>CO2(ppm)</t>
  </si>
  <si>
    <r>
      <rPr>
        <sz val="11"/>
        <rFont val="ＭＳ Ｐゴシック"/>
        <family val="3"/>
        <charset val="128"/>
      </rPr>
      <t>CO2  0.</t>
    </r>
    <r>
      <rPr>
        <sz val="11"/>
        <color rgb="FF000000"/>
        <rFont val="Calibri"/>
        <family val="2"/>
        <charset val="1"/>
      </rPr>
      <t>9047</t>
    </r>
    <r>
      <rPr>
        <sz val="11"/>
        <rFont val="ＭＳ Ｐゴシック"/>
        <family val="3"/>
        <charset val="128"/>
      </rPr>
      <t>%</t>
    </r>
  </si>
  <si>
    <t>sample前</t>
  </si>
  <si>
    <r>
      <rPr>
        <sz val="11"/>
        <rFont val="ＭＳ Ｐゴシック"/>
        <family val="3"/>
        <charset val="128"/>
      </rPr>
      <t>C</t>
    </r>
    <r>
      <rPr>
        <sz val="11"/>
        <color rgb="FF000000"/>
        <rFont val="Calibri"/>
        <family val="2"/>
        <charset val="1"/>
      </rPr>
      <t>O</t>
    </r>
    <r>
      <rPr>
        <sz val="11"/>
        <rFont val="ＭＳ Ｐゴシック"/>
        <family val="3"/>
        <charset val="128"/>
      </rPr>
      <t>２</t>
    </r>
  </si>
  <si>
    <t>sample後</t>
  </si>
  <si>
    <t>標準パラメータ</t>
  </si>
  <si>
    <t>factor</t>
  </si>
  <si>
    <r>
      <rPr>
        <sz val="11"/>
        <rFont val="ＭＳ Ｐゴシック"/>
        <family val="3"/>
        <charset val="128"/>
      </rPr>
      <t>C</t>
    </r>
    <r>
      <rPr>
        <sz val="11"/>
        <color rgb="FF000000"/>
        <rFont val="Calibri"/>
        <family val="2"/>
        <charset val="1"/>
      </rPr>
      <t>O2</t>
    </r>
    <r>
      <rPr>
        <sz val="11"/>
        <rFont val="ＭＳ Ｐゴシック"/>
        <family val="3"/>
        <charset val="128"/>
      </rPr>
      <t>濃度</t>
    </r>
  </si>
  <si>
    <t>CO2</t>
  </si>
  <si>
    <t>ppm</t>
  </si>
  <si>
    <t>前</t>
  </si>
  <si>
    <t>後</t>
  </si>
  <si>
    <t>初期std利用</t>
  </si>
  <si>
    <t>ドリフト補正有</t>
  </si>
  <si>
    <t>15 deg</t>
  </si>
  <si>
    <t>25 deg</t>
  </si>
  <si>
    <t>Jar #</t>
  </si>
  <si>
    <t>Soil Type</t>
  </si>
  <si>
    <t>Temp (deg C)</t>
  </si>
  <si>
    <t>Replicate #</t>
  </si>
  <si>
    <t>Jar+Lid Mass (g)</t>
  </si>
  <si>
    <t>Soil Mass (g)</t>
  </si>
  <si>
    <t>Sand Mass (g)</t>
  </si>
  <si>
    <t>Total Dry Mass (g)</t>
  </si>
  <si>
    <t>H2O holding capacity (Ml/g)</t>
  </si>
  <si>
    <t>Water to make 60% H.Cap. (mL)</t>
  </si>
  <si>
    <t>Bacterial Inoculum (mL)</t>
  </si>
  <si>
    <t>Amoebal Inoculum (Ml)</t>
  </si>
  <si>
    <t xml:space="preserve">Sterile H2O [to add] </t>
  </si>
  <si>
    <t>Wet Mass (60% Cap.) expected</t>
  </si>
  <si>
    <t>Wet Mass Observed 7/22 before 15 deg</t>
  </si>
  <si>
    <t>moisture difference</t>
  </si>
  <si>
    <t>Expected soil+jar+lid mass</t>
  </si>
  <si>
    <t>Measured soil+jar+lid mass</t>
  </si>
  <si>
    <t>Minus this amt. of H2O</t>
  </si>
  <si>
    <t>amoeabe added 7/24</t>
  </si>
  <si>
    <t>water added 7/24</t>
  </si>
  <si>
    <t>Sterile H2O added 7/18</t>
  </si>
  <si>
    <t>Current Mass (7/19) (too high)</t>
  </si>
  <si>
    <t>Difference (need to lose)</t>
  </si>
  <si>
    <t>B+A</t>
  </si>
  <si>
    <t>y</t>
  </si>
  <si>
    <t>Initial N readings</t>
  </si>
  <si>
    <t>Community</t>
  </si>
  <si>
    <t>Jar</t>
  </si>
  <si>
    <t>Till</t>
  </si>
  <si>
    <t>Bac</t>
  </si>
  <si>
    <t>B</t>
  </si>
  <si>
    <t>Sterile</t>
  </si>
  <si>
    <t>need to weigh jars on Monday.  Hopefully they will have dried down in mass and the new amount can be added back Monday or Tuesday.</t>
  </si>
  <si>
    <t>NoTill</t>
  </si>
  <si>
    <t>S</t>
  </si>
  <si>
    <t>N</t>
  </si>
  <si>
    <t>Blank</t>
  </si>
  <si>
    <t>-</t>
  </si>
  <si>
    <t>Bl1</t>
  </si>
  <si>
    <t>Bl2</t>
  </si>
  <si>
    <t>Bl3</t>
  </si>
  <si>
    <t>NT CRUSH</t>
  </si>
  <si>
    <t>sum (mL)</t>
  </si>
  <si>
    <t>???!!!</t>
  </si>
  <si>
    <t>had to enter date as 8/32 for formulae in column S</t>
  </si>
  <si>
    <t>??? Check scroll!!!</t>
  </si>
  <si>
    <t>had to enter date as 8/36 for formulae in column S</t>
  </si>
  <si>
    <t>(bar groupings indicate capped periods)</t>
  </si>
  <si>
    <t>cumulative ppm</t>
  </si>
  <si>
    <t>rate ppm/hr</t>
  </si>
  <si>
    <t>cumulative ug CO2-C</t>
  </si>
  <si>
    <t>rate ug CO2-C / hr</t>
  </si>
  <si>
    <t>Increase in ppm</t>
  </si>
  <si>
    <t>time</t>
  </si>
  <si>
    <t>ppm/hr</t>
  </si>
  <si>
    <t>ppm/min</t>
  </si>
  <si>
    <t>ppm/min/g</t>
  </si>
  <si>
    <t>init.</t>
  </si>
  <si>
    <t>min</t>
  </si>
  <si>
    <t>jar</t>
  </si>
  <si>
    <t>7-24-13 A</t>
  </si>
  <si>
    <t>7-24-13 B</t>
  </si>
  <si>
    <t>7-29-2013</t>
  </si>
  <si>
    <t>7-30-13</t>
  </si>
  <si>
    <t>8-1-13</t>
  </si>
  <si>
    <t>8-5-13</t>
  </si>
  <si>
    <t>8-8-13</t>
  </si>
  <si>
    <t>8-13-13</t>
  </si>
  <si>
    <t>7/24</t>
  </si>
  <si>
    <t>7/29</t>
  </si>
  <si>
    <t>8/1</t>
  </si>
  <si>
    <t>8/5</t>
  </si>
  <si>
    <t>8/8</t>
  </si>
  <si>
    <t>8/13</t>
  </si>
  <si>
    <t>7-24 A to B</t>
  </si>
  <si>
    <t>7-24 A to 7-29</t>
  </si>
  <si>
    <t>7-30 to 8-1</t>
  </si>
  <si>
    <t>7-30 to 8-5</t>
  </si>
  <si>
    <t>8-5 to 8-8</t>
  </si>
  <si>
    <t>8-5 to 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</si>
</sst>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_ "/>
    <numFmt numFmtId="165" formatCode="0.0_ "/>
    <numFmt numFmtId="166" formatCode="0.0000"/>
    <numFmt numFmtId="167" formatCode="0.00000000000"/>
    <numFmt numFmtId="168" formatCode="0.0"/>
    <numFmt numFmtId="169" formatCode="0.000000;[Red]0.000000"/>
  </numFmts>
  <fonts count="5">
    <font>
      <sz val="11"/>
      <color rgb="FF000000"/>
      <name val="Calibri"/>
      <family val="2"/>
      <charset val="1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name val="ＭＳ Ｐゴシック"/>
      <family val="2"/>
      <charset val="1"/>
    </font>
    <font>
      <b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CCFFFF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800000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2" borderId="1" xfId="1" applyFill="1" applyBorder="1">
      <alignment vertical="center"/>
    </xf>
    <xf numFmtId="0" fontId="0" fillId="3" borderId="0" xfId="0" applyFill="1"/>
    <xf numFmtId="0" fontId="1" fillId="0" borderId="2" xfId="1" applyBorder="1">
      <alignment vertical="center"/>
    </xf>
    <xf numFmtId="0" fontId="0" fillId="3" borderId="2" xfId="0" applyFill="1" applyBorder="1"/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1" fillId="0" borderId="3" xfId="1" applyBorder="1" applyAlignment="1">
      <alignment vertical="top"/>
    </xf>
    <xf numFmtId="0" fontId="1" fillId="0" borderId="3" xfId="1" applyBorder="1">
      <alignment vertical="center"/>
    </xf>
    <xf numFmtId="0" fontId="2" fillId="0" borderId="0" xfId="0" applyFont="1"/>
    <xf numFmtId="164" fontId="1" fillId="5" borderId="0" xfId="1" applyNumberFormat="1" applyFill="1">
      <alignment vertical="center"/>
    </xf>
    <xf numFmtId="165" fontId="1" fillId="6" borderId="0" xfId="1" applyNumberFormat="1" applyFill="1">
      <alignment vertical="center"/>
    </xf>
    <xf numFmtId="165" fontId="1" fillId="0" borderId="0" xfId="1" applyNumberFormat="1">
      <alignment vertical="center"/>
    </xf>
    <xf numFmtId="166" fontId="1" fillId="0" borderId="0" xfId="1" applyNumberFormat="1">
      <alignment vertical="center"/>
    </xf>
    <xf numFmtId="165" fontId="1" fillId="7" borderId="0" xfId="1" applyNumberFormat="1" applyFill="1">
      <alignment vertical="center"/>
    </xf>
    <xf numFmtId="0" fontId="1" fillId="0" borderId="0" xfId="1" applyAlignment="1">
      <alignment vertical="top"/>
    </xf>
    <xf numFmtId="0" fontId="0" fillId="0" borderId="0" xfId="0" applyAlignment="1">
      <alignment horizontal="right"/>
    </xf>
    <xf numFmtId="0" fontId="1" fillId="0" borderId="2" xfId="1" applyBorder="1" applyAlignment="1">
      <alignment vertical="top"/>
    </xf>
    <xf numFmtId="164" fontId="1" fillId="5" borderId="2" xfId="1" applyNumberFormat="1" applyFill="1" applyBorder="1">
      <alignment vertical="center"/>
    </xf>
    <xf numFmtId="165" fontId="1" fillId="6" borderId="2" xfId="1" applyNumberFormat="1" applyFill="1" applyBorder="1">
      <alignment vertical="center"/>
    </xf>
    <xf numFmtId="165" fontId="1" fillId="0" borderId="2" xfId="1" applyNumberFormat="1" applyBorder="1">
      <alignment vertical="center"/>
    </xf>
    <xf numFmtId="166" fontId="1" fillId="0" borderId="2" xfId="1" applyNumberFormat="1" applyBorder="1">
      <alignment vertical="center"/>
    </xf>
    <xf numFmtId="165" fontId="1" fillId="7" borderId="2" xfId="1" applyNumberFormat="1" applyFill="1" applyBorder="1">
      <alignment vertical="center"/>
    </xf>
    <xf numFmtId="0" fontId="2" fillId="0" borderId="0" xfId="1" applyFont="1" applyAlignment="1">
      <alignment vertical="top"/>
    </xf>
    <xf numFmtId="0" fontId="3" fillId="0" borderId="0" xfId="1" applyFont="1">
      <alignment vertical="center"/>
    </xf>
    <xf numFmtId="0" fontId="0" fillId="0" borderId="1" xfId="0" applyBorder="1"/>
    <xf numFmtId="164" fontId="1" fillId="5" borderId="1" xfId="1" applyNumberFormat="1" applyFill="1" applyBorder="1">
      <alignment vertical="center"/>
    </xf>
    <xf numFmtId="0" fontId="0" fillId="3" borderId="1" xfId="0" applyFill="1" applyBorder="1"/>
    <xf numFmtId="165" fontId="1" fillId="6" borderId="1" xfId="1" applyNumberFormat="1" applyFill="1" applyBorder="1">
      <alignment vertical="center"/>
    </xf>
    <xf numFmtId="165" fontId="1" fillId="0" borderId="1" xfId="1" applyNumberFormat="1" applyBorder="1">
      <alignment vertical="center"/>
    </xf>
    <xf numFmtId="166" fontId="1" fillId="0" borderId="1" xfId="1" applyNumberFormat="1" applyBorder="1">
      <alignment vertical="center"/>
    </xf>
    <xf numFmtId="165" fontId="1" fillId="7" borderId="1" xfId="1" applyNumberFormat="1" applyFill="1" applyBorder="1">
      <alignment vertical="center"/>
    </xf>
    <xf numFmtId="0" fontId="1" fillId="6" borderId="0" xfId="1" applyFill="1">
      <alignment vertical="center"/>
    </xf>
    <xf numFmtId="0" fontId="0" fillId="8" borderId="0" xfId="0" applyFill="1"/>
    <xf numFmtId="0" fontId="0" fillId="0" borderId="4" xfId="0" applyBorder="1" applyAlignment="1">
      <alignment textRotation="45" wrapText="1"/>
    </xf>
    <xf numFmtId="0" fontId="0" fillId="8" borderId="4" xfId="0" applyFill="1" applyBorder="1" applyAlignment="1">
      <alignment textRotation="45" wrapText="1"/>
    </xf>
    <xf numFmtId="0" fontId="0" fillId="8" borderId="5" xfId="0" applyFill="1" applyBorder="1"/>
    <xf numFmtId="14" fontId="0" fillId="0" borderId="0" xfId="0" applyNumberFormat="1"/>
    <xf numFmtId="0" fontId="0" fillId="0" borderId="5" xfId="0" applyBorder="1"/>
    <xf numFmtId="165" fontId="1" fillId="9" borderId="0" xfId="1" applyNumberFormat="1" applyFill="1">
      <alignment vertical="center"/>
    </xf>
    <xf numFmtId="167" fontId="0" fillId="0" borderId="0" xfId="0" applyNumberFormat="1"/>
    <xf numFmtId="165" fontId="1" fillId="9" borderId="2" xfId="1" applyNumberFormat="1" applyFill="1" applyBorder="1">
      <alignment vertical="center"/>
    </xf>
    <xf numFmtId="0" fontId="0" fillId="0" borderId="2" xfId="0" applyBorder="1"/>
    <xf numFmtId="165" fontId="1" fillId="9" borderId="1" xfId="1" applyNumberFormat="1" applyFill="1" applyBorder="1">
      <alignment vertical="center"/>
    </xf>
    <xf numFmtId="168" fontId="1" fillId="0" borderId="0" xfId="1" applyNumberFormat="1">
      <alignment vertical="center"/>
    </xf>
    <xf numFmtId="0" fontId="0" fillId="10" borderId="0" xfId="0" applyFill="1"/>
    <xf numFmtId="0" fontId="0" fillId="0" borderId="6" xfId="0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16" fontId="0" fillId="0" borderId="0" xfId="0" applyNumberFormat="1"/>
    <xf numFmtId="169" fontId="0" fillId="0" borderId="0" xfId="0" applyNumberFormat="1" applyAlignment="1">
      <alignment vertical="center"/>
    </xf>
  </cellXfs>
  <cellStyles count="2">
    <cellStyle name="Explanatory Text" xfId="1" builtinId="53" customBuiltin="1"/>
    <cellStyle name="Normal" xfId="0" builtinId="0"/>
  </cellStyles>
  <dxfs count="17"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115" zoomScaleNormal="115" workbookViewId="0">
      <selection activeCell="F21" sqref="F21"/>
    </sheetView>
  </sheetViews>
  <sheetFormatPr defaultRowHeight="15"/>
  <cols>
    <col min="1" max="1025" width="8.57031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46</v>
      </c>
      <c r="B2">
        <v>11.96</v>
      </c>
      <c r="C2">
        <v>0.999</v>
      </c>
      <c r="D2">
        <v>4</v>
      </c>
      <c r="E2" t="s">
        <v>11</v>
      </c>
      <c r="F2">
        <f>SUM(C2:D2)</f>
        <v>4.9989999999999997</v>
      </c>
      <c r="G2">
        <v>18.701000000000001</v>
      </c>
      <c r="H2">
        <v>16.867999999999999</v>
      </c>
      <c r="I2">
        <f>SUM(F2,B2)</f>
        <v>16.959</v>
      </c>
      <c r="J2">
        <v>16.949000000000002</v>
      </c>
      <c r="K2">
        <f>((G2-H2)/F2)-0.082</f>
        <v>0.28467333466693379</v>
      </c>
    </row>
    <row r="3" spans="1:11">
      <c r="A3">
        <v>69</v>
      </c>
      <c r="B3">
        <v>12.143000000000001</v>
      </c>
      <c r="C3">
        <v>0.98499999999999999</v>
      </c>
      <c r="D3">
        <v>4</v>
      </c>
      <c r="E3" t="s">
        <v>11</v>
      </c>
      <c r="F3">
        <f>SUM(C3:D3)</f>
        <v>4.9850000000000003</v>
      </c>
      <c r="G3">
        <v>18.826000000000001</v>
      </c>
      <c r="H3">
        <v>17.030999999999999</v>
      </c>
      <c r="I3">
        <f>SUM(F3,B3)</f>
        <v>17.128</v>
      </c>
      <c r="J3">
        <v>17.11</v>
      </c>
      <c r="K3">
        <f>((G3-H3)/F3)-0.082</f>
        <v>0.2780802407221668</v>
      </c>
    </row>
    <row r="4" spans="1:11">
      <c r="A4">
        <v>78</v>
      </c>
      <c r="B4">
        <v>12.21</v>
      </c>
      <c r="C4">
        <v>1.0149999999999999</v>
      </c>
      <c r="D4">
        <v>4.0010000000000003</v>
      </c>
      <c r="E4" t="s">
        <v>11</v>
      </c>
      <c r="F4">
        <f>SUM(C4:D4)</f>
        <v>5.016</v>
      </c>
      <c r="G4">
        <v>18.888999999999999</v>
      </c>
      <c r="H4">
        <v>17.12</v>
      </c>
      <c r="I4">
        <f>SUM(F4,B4)</f>
        <v>17.225999999999999</v>
      </c>
      <c r="J4">
        <v>17.202000000000002</v>
      </c>
      <c r="K4">
        <f>((G4-H4)/F4)-0.082</f>
        <v>0.27067145135566151</v>
      </c>
    </row>
    <row r="5" spans="1:11">
      <c r="A5">
        <v>83</v>
      </c>
      <c r="B5">
        <v>12.16</v>
      </c>
      <c r="C5">
        <v>2.0049999999999999</v>
      </c>
      <c r="D5">
        <v>4.0010000000000003</v>
      </c>
      <c r="E5" t="s">
        <v>12</v>
      </c>
      <c r="F5">
        <f>SUM(C5:D5)</f>
        <v>6.0060000000000002</v>
      </c>
      <c r="G5">
        <v>19.163</v>
      </c>
      <c r="H5">
        <v>17.062999999999999</v>
      </c>
      <c r="I5">
        <f>SUM(F5,B5)</f>
        <v>18.166</v>
      </c>
      <c r="J5">
        <v>17.149999999999999</v>
      </c>
      <c r="K5">
        <f>((G5-H5)/F5)-0.082</f>
        <v>0.26765034965034984</v>
      </c>
    </row>
    <row r="6" spans="1:11">
      <c r="A6">
        <v>99</v>
      </c>
      <c r="B6">
        <v>12.164</v>
      </c>
      <c r="C6">
        <v>0.999</v>
      </c>
      <c r="D6">
        <v>4</v>
      </c>
      <c r="E6" t="s">
        <v>12</v>
      </c>
      <c r="F6">
        <f>SUM(C6:D6)</f>
        <v>4.9989999999999997</v>
      </c>
      <c r="G6">
        <v>19.077000000000002</v>
      </c>
      <c r="H6">
        <v>17.073</v>
      </c>
      <c r="I6">
        <f>SUM(F6,B6)</f>
        <v>17.163</v>
      </c>
      <c r="J6">
        <v>17.161000000000001</v>
      </c>
      <c r="K6">
        <f>((G6-H6)/F6)-0.082</f>
        <v>0.3188801760352073</v>
      </c>
    </row>
    <row r="7" spans="1:11">
      <c r="A7">
        <v>190</v>
      </c>
      <c r="B7">
        <v>12.24</v>
      </c>
      <c r="C7">
        <v>0.999</v>
      </c>
      <c r="D7">
        <v>4.0010000000000003</v>
      </c>
      <c r="E7" t="s">
        <v>12</v>
      </c>
      <c r="F7">
        <f>SUM(C7:D7)</f>
        <v>5</v>
      </c>
      <c r="G7">
        <v>19.454000000000001</v>
      </c>
      <c r="H7">
        <v>17.149000000000001</v>
      </c>
      <c r="I7">
        <f>SUM(F7,B7)</f>
        <v>17.240000000000002</v>
      </c>
      <c r="J7">
        <v>17.239999999999998</v>
      </c>
      <c r="K7">
        <f>((G7-H7)/F7)-0.082</f>
        <v>0.37899999999999995</v>
      </c>
    </row>
    <row r="8" spans="1:11">
      <c r="A8">
        <v>202</v>
      </c>
      <c r="B8">
        <v>12.244</v>
      </c>
      <c r="C8">
        <v>1.002</v>
      </c>
      <c r="D8">
        <v>4</v>
      </c>
      <c r="E8" t="s">
        <v>13</v>
      </c>
      <c r="F8">
        <f>SUM(C8:D8)</f>
        <v>5.0019999999999998</v>
      </c>
      <c r="G8">
        <v>19.279</v>
      </c>
      <c r="H8">
        <v>17.143000000000001</v>
      </c>
      <c r="I8">
        <f>SUM(F8,B8)</f>
        <v>17.245999999999999</v>
      </c>
      <c r="J8">
        <v>17.245000000000001</v>
      </c>
      <c r="K8">
        <f>((G8-H8)/F8)-0.082</f>
        <v>0.34502918832467</v>
      </c>
    </row>
    <row r="9" spans="1:11">
      <c r="A9">
        <v>102</v>
      </c>
      <c r="B9">
        <v>12.167999999999999</v>
      </c>
      <c r="C9">
        <v>1.002</v>
      </c>
      <c r="D9">
        <v>4.0019999999999998</v>
      </c>
      <c r="E9" t="s">
        <v>13</v>
      </c>
      <c r="F9">
        <f>SUM(C9:D9)</f>
        <v>5.0039999999999996</v>
      </c>
      <c r="G9">
        <v>19.169</v>
      </c>
      <c r="H9">
        <v>17.068000000000001</v>
      </c>
      <c r="I9">
        <f>SUM(F9,B9)</f>
        <v>17.171999999999997</v>
      </c>
      <c r="J9">
        <v>17.170999999999999</v>
      </c>
      <c r="K9">
        <f>((G9-H9)/F9)-0.082</f>
        <v>0.33786410871302941</v>
      </c>
    </row>
    <row r="10" spans="1:11">
      <c r="A10">
        <v>143</v>
      </c>
      <c r="B10">
        <v>12.195</v>
      </c>
      <c r="C10">
        <v>1.0009999999999999</v>
      </c>
      <c r="D10">
        <v>4.0010000000000003</v>
      </c>
      <c r="E10" t="s">
        <v>13</v>
      </c>
      <c r="F10">
        <f>SUM(C10:D10)</f>
        <v>5.0020000000000007</v>
      </c>
      <c r="G10">
        <v>19.228000000000002</v>
      </c>
      <c r="H10">
        <v>17.094000000000001</v>
      </c>
      <c r="I10">
        <f>SUM(F10,B10)</f>
        <v>17.197000000000003</v>
      </c>
      <c r="J10">
        <v>17.195</v>
      </c>
      <c r="K10">
        <f>((G10-H10)/F10)-0.082</f>
        <v>0.34462934826069569</v>
      </c>
    </row>
    <row r="13" spans="1:11">
      <c r="A13">
        <v>86</v>
      </c>
      <c r="B13">
        <v>12.114000000000001</v>
      </c>
    </row>
    <row r="14" spans="1:11">
      <c r="A14">
        <v>174</v>
      </c>
      <c r="B14">
        <v>12.146000000000001</v>
      </c>
    </row>
    <row r="15" spans="1:11">
      <c r="A15">
        <v>87</v>
      </c>
      <c r="B15">
        <v>12.129</v>
      </c>
    </row>
    <row r="18" spans="5:6">
      <c r="E18" t="s">
        <v>14</v>
      </c>
      <c r="F18" t="s">
        <v>15</v>
      </c>
    </row>
    <row r="19" spans="5:6">
      <c r="E19" t="s">
        <v>11</v>
      </c>
      <c r="F19">
        <f>AVERAGE(K2:K4)</f>
        <v>0.27780834224825407</v>
      </c>
    </row>
    <row r="20" spans="5:6">
      <c r="E20" t="s">
        <v>12</v>
      </c>
      <c r="F20">
        <f>AVERAGE(K5:K7)</f>
        <v>0.32184350856185234</v>
      </c>
    </row>
    <row r="21" spans="5:6">
      <c r="E21" t="s">
        <v>13</v>
      </c>
      <c r="F21">
        <f>AVERAGE(K8:K10)</f>
        <v>0.34250754843279835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"/>
  <sheetViews>
    <sheetView topLeftCell="A128" zoomScale="58" zoomScaleNormal="58" workbookViewId="0">
      <selection activeCell="O16" sqref="O16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/>
      <c r="I2" s="4"/>
      <c r="J2" s="4"/>
      <c r="K2" s="4"/>
      <c r="L2" s="4"/>
      <c r="M2" s="4"/>
      <c r="N2" s="4"/>
      <c r="O2" s="4"/>
      <c r="P2"/>
      <c r="Q2"/>
      <c r="R2"/>
      <c r="S2" s="1">
        <f>H2*24+I2+J2/60+K2/3600</f>
        <v>0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/>
      <c r="I3" s="4"/>
      <c r="J3" s="4"/>
      <c r="K3" s="4"/>
      <c r="L3" s="4"/>
      <c r="M3" s="4"/>
      <c r="N3" s="4"/>
      <c r="O3" s="4"/>
      <c r="P3"/>
      <c r="Q3"/>
      <c r="R3"/>
      <c r="S3" s="1">
        <f>H3*24+I3+J3/60+K3/3600</f>
        <v>0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/>
      <c r="I4" s="4"/>
      <c r="J4" s="4"/>
      <c r="K4" s="4"/>
      <c r="L4" s="4"/>
      <c r="M4" s="4"/>
      <c r="N4" s="4"/>
      <c r="O4" s="4"/>
      <c r="P4"/>
      <c r="Q4"/>
      <c r="R4"/>
      <c r="S4" s="1">
        <f>H4*24+I4+J4/60+K4/3600</f>
        <v>0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/>
      <c r="I5" s="4"/>
      <c r="J5" s="4"/>
      <c r="K5" s="4"/>
      <c r="L5" s="4"/>
      <c r="M5" s="4"/>
      <c r="N5" s="4"/>
      <c r="O5" s="4"/>
      <c r="P5"/>
      <c r="Q5"/>
      <c r="R5"/>
      <c r="S5"/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/>
      <c r="I7" s="4"/>
      <c r="J7" s="4"/>
      <c r="K7" s="4"/>
      <c r="L7" s="4"/>
      <c r="M7" s="4"/>
      <c r="N7" s="4"/>
      <c r="O7" s="4"/>
      <c r="P7"/>
      <c r="Q7"/>
      <c r="R7"/>
      <c r="S7" s="1">
        <f>H7*24+I7+J7/60+K7/3600</f>
        <v>0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/>
      <c r="I8" s="4"/>
      <c r="J8" s="4"/>
      <c r="K8" s="4"/>
      <c r="L8" s="4"/>
      <c r="M8" s="4"/>
      <c r="N8" s="4"/>
      <c r="O8" s="4"/>
      <c r="P8"/>
      <c r="Q8"/>
      <c r="R8"/>
      <c r="S8" s="1">
        <f>H8*24+I8+J8/60+K8/3600</f>
        <v>0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/>
      <c r="I9" s="4"/>
      <c r="J9" s="4"/>
      <c r="K9" s="4"/>
      <c r="L9" s="4"/>
      <c r="M9" s="4"/>
      <c r="N9" s="4"/>
      <c r="O9" s="4"/>
      <c r="P9"/>
      <c r="Q9"/>
      <c r="R9"/>
      <c r="S9" s="1">
        <f>H9*24+I9+J9/60+K9/3600</f>
        <v>0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/>
      <c r="I10" s="4"/>
      <c r="J10" s="4"/>
      <c r="K10" s="4"/>
      <c r="L10" s="4"/>
      <c r="M10" s="4"/>
      <c r="N10" s="4"/>
      <c r="O10" s="4"/>
      <c r="P10"/>
      <c r="Q10"/>
      <c r="R10"/>
      <c r="S10"/>
      <c r="T10"/>
      <c r="U10"/>
    </row>
    <row r="11" spans="1:21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 t="e">
        <f>AVERAGE(O2:O6)</f>
        <v>#DIV/0!</v>
      </c>
      <c r="Q15" s="8" t="e">
        <f>F15/O15</f>
        <v>#DIV/0!</v>
      </c>
      <c r="S15" s="1">
        <f>AVERAGE(S2:S6)</f>
        <v>0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 t="e">
        <f>AVERAGE(O7:O11)</f>
        <v>#DIV/0!</v>
      </c>
      <c r="Q16" s="1" t="e">
        <f>F15/O16</f>
        <v>#DIV/0!</v>
      </c>
      <c r="S16" s="1">
        <f>AVERAGE(S7:S11)</f>
        <v>0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/>
      <c r="I19" s="4"/>
      <c r="J19" s="4"/>
      <c r="K19" s="4"/>
      <c r="L19" s="4"/>
      <c r="M19" s="4"/>
      <c r="N19" s="4"/>
      <c r="O19" s="4"/>
      <c r="Q19" s="13" t="e">
        <f>O19*$Q$15</f>
        <v>#DIV/0!</v>
      </c>
      <c r="R19" s="14"/>
      <c r="S19" s="1">
        <f>H19*24+I19+J19/60+K19/3600</f>
        <v>0</v>
      </c>
      <c r="T19" s="15" t="e">
        <f>Q15+(Q16-Q15)*(S19-S15)/(S16-S15)</f>
        <v>#DIV/0!</v>
      </c>
      <c r="U19" s="16" t="e">
        <f>O19*T19</f>
        <v>#DIV/0!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/>
      <c r="I20" s="4"/>
      <c r="J20" s="4"/>
      <c r="K20" s="4"/>
      <c r="L20" s="4"/>
      <c r="M20" s="4"/>
      <c r="N20" s="4"/>
      <c r="O20" s="4"/>
      <c r="Q20" s="13" t="e">
        <f>O20*$Q$15</f>
        <v>#DIV/0!</v>
      </c>
      <c r="R20" s="14"/>
      <c r="S20" s="1">
        <f>H20*24+I20+J20/60+K20/3600</f>
        <v>0</v>
      </c>
      <c r="T20" s="15" t="e">
        <f>Q15+(Q16-Q15)*(S20-S15)/(S16-S15)</f>
        <v>#DIV/0!</v>
      </c>
      <c r="U20" s="16" t="e">
        <f>O20*T20</f>
        <v>#DIV/0!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/>
      <c r="I21" s="4"/>
      <c r="J21" s="4"/>
      <c r="K21" s="4"/>
      <c r="L21" s="4"/>
      <c r="M21" s="4"/>
      <c r="N21" s="4"/>
      <c r="O21" s="4"/>
      <c r="Q21" s="13" t="e">
        <f>O21*$Q$15</f>
        <v>#DIV/0!</v>
      </c>
      <c r="R21" s="14"/>
      <c r="S21" s="1">
        <f>H21*24+I21+J21/60+K21/3600</f>
        <v>0</v>
      </c>
      <c r="T21" s="15" t="e">
        <f>Q15+(Q16-Q15)*(S21-S15)/(S16-S15)</f>
        <v>#DIV/0!</v>
      </c>
      <c r="U21" s="16" t="e">
        <f>O21*T21</f>
        <v>#DIV/0!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/>
      <c r="I22" s="4"/>
      <c r="J22" s="4"/>
      <c r="K22" s="4"/>
      <c r="L22" s="4"/>
      <c r="M22" s="4"/>
      <c r="N22" s="4"/>
      <c r="O22" s="4"/>
      <c r="Q22" s="13" t="e">
        <f>O22*$Q$15</f>
        <v>#DIV/0!</v>
      </c>
      <c r="R22" s="14"/>
      <c r="S22" s="1">
        <f>H22*24+I22+J22/60+K22/3600</f>
        <v>0</v>
      </c>
      <c r="T22" s="15" t="e">
        <f>Q15+(Q16-Q15)*(S22-S15)/(S16-S15)</f>
        <v>#DIV/0!</v>
      </c>
      <c r="U22" s="16" t="e">
        <f>O22*T22</f>
        <v>#DIV/0!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/>
      <c r="I23" s="4"/>
      <c r="J23" s="4"/>
      <c r="K23" s="4"/>
      <c r="L23" s="4"/>
      <c r="M23" s="4"/>
      <c r="N23" s="4"/>
      <c r="O23" s="4"/>
      <c r="Q23" s="13" t="e">
        <f>O23*$Q$15</f>
        <v>#DIV/0!</v>
      </c>
      <c r="R23" s="14"/>
      <c r="S23" s="1">
        <f>H23*24+I23+J23/60+K23/3600</f>
        <v>0</v>
      </c>
      <c r="T23" s="15" t="e">
        <f>Q15+(Q16-Q15)*(S23-S15)/(S16-S15)</f>
        <v>#DIV/0!</v>
      </c>
      <c r="U23" s="16" t="e">
        <f>O23*T23</f>
        <v>#DIV/0!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/>
      <c r="I24" s="4"/>
      <c r="J24" s="4"/>
      <c r="K24" s="4"/>
      <c r="L24" s="4"/>
      <c r="M24" s="4"/>
      <c r="N24" s="4"/>
      <c r="O24" s="4"/>
      <c r="Q24" s="13" t="e">
        <f>O24*$Q$15</f>
        <v>#DIV/0!</v>
      </c>
      <c r="R24" s="14"/>
      <c r="S24" s="1">
        <f>H24*24+I24+J24/60+K24/3600</f>
        <v>0</v>
      </c>
      <c r="T24" s="15" t="e">
        <f>Q15+(Q16-Q15)*(S24-S15)/(S16-S15)</f>
        <v>#DIV/0!</v>
      </c>
      <c r="U24" s="16" t="e">
        <f>O24*T24</f>
        <v>#DIV/0!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/>
      <c r="I25" s="4"/>
      <c r="J25" s="4"/>
      <c r="K25" s="4"/>
      <c r="L25" s="4"/>
      <c r="M25" s="4"/>
      <c r="N25" s="4"/>
      <c r="O25" s="4"/>
      <c r="Q25" s="13" t="e">
        <f>O25*$Q$15</f>
        <v>#DIV/0!</v>
      </c>
      <c r="R25" s="14"/>
      <c r="S25" s="1">
        <f>H25*24+I25+J25/60+K25/3600</f>
        <v>0</v>
      </c>
      <c r="T25" s="15" t="e">
        <f>Q15+(Q16-Q15)*(S25-S15)/(S16-S15)</f>
        <v>#DIV/0!</v>
      </c>
      <c r="U25" s="16" t="e">
        <f>O25*T25</f>
        <v>#DIV/0!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/>
      <c r="I26" s="4"/>
      <c r="J26" s="4"/>
      <c r="K26" s="4"/>
      <c r="L26" s="4"/>
      <c r="M26" s="4"/>
      <c r="N26" s="4"/>
      <c r="O26" s="4"/>
      <c r="Q26" s="13" t="e">
        <f>O26*$Q$15</f>
        <v>#DIV/0!</v>
      </c>
      <c r="R26" s="14"/>
      <c r="S26" s="1">
        <f>H26*24+I26+J26/60+K26/3600</f>
        <v>0</v>
      </c>
      <c r="T26" s="15" t="e">
        <f>Q15+(Q16-Q15)*(S26-S15)/(S16-S15)</f>
        <v>#DIV/0!</v>
      </c>
      <c r="U26" s="16" t="e">
        <f>O26*T26</f>
        <v>#DIV/0!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/>
      <c r="I27" s="4"/>
      <c r="J27" s="4"/>
      <c r="K27" s="4"/>
      <c r="L27" s="4"/>
      <c r="M27" s="4"/>
      <c r="N27" s="4"/>
      <c r="O27" s="4"/>
      <c r="Q27" s="13" t="e">
        <f>O27*$Q$15</f>
        <v>#DIV/0!</v>
      </c>
      <c r="R27" s="14"/>
      <c r="S27" s="1">
        <f>H27*24+I27+J27/60+K27/3600</f>
        <v>0</v>
      </c>
      <c r="T27" s="15" t="e">
        <f>Q15+(Q16-Q15)*(S27-S15)/(S16-S15)</f>
        <v>#DIV/0!</v>
      </c>
      <c r="U27" s="16" t="e">
        <f>O27*T27</f>
        <v>#DIV/0!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/>
      <c r="I28" s="4"/>
      <c r="J28" s="4"/>
      <c r="K28" s="4"/>
      <c r="L28" s="4"/>
      <c r="M28" s="4"/>
      <c r="N28" s="4"/>
      <c r="O28" s="4"/>
      <c r="Q28" s="13" t="e">
        <f>O28*$Q$15</f>
        <v>#DIV/0!</v>
      </c>
      <c r="R28" s="14"/>
      <c r="S28" s="1">
        <f>H28*24+I28+J28/60+K28/3600</f>
        <v>0</v>
      </c>
      <c r="T28" s="15" t="e">
        <f>Q15+(Q16-Q15)*(S28-S15)/(S16-S15)</f>
        <v>#DIV/0!</v>
      </c>
      <c r="U28" s="16" t="e">
        <f>O28*T28</f>
        <v>#DIV/0!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/>
      <c r="I29" s="4"/>
      <c r="J29" s="4"/>
      <c r="K29" s="4"/>
      <c r="L29" s="4"/>
      <c r="M29" s="4"/>
      <c r="N29" s="4"/>
      <c r="O29" s="4"/>
      <c r="Q29" s="13" t="e">
        <f>O29*$Q$15</f>
        <v>#DIV/0!</v>
      </c>
      <c r="R29" s="14"/>
      <c r="S29" s="1">
        <f>H29*24+I29+J29/60+K29/3600</f>
        <v>0</v>
      </c>
      <c r="T29" s="15" t="e">
        <f>Q15+(Q16-Q15)*(S29-S15)/(S16-S15)</f>
        <v>#DIV/0!</v>
      </c>
      <c r="U29" s="16" t="e">
        <f>O29*T29</f>
        <v>#DIV/0!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/>
      <c r="I30" s="4"/>
      <c r="J30" s="4"/>
      <c r="K30" s="4"/>
      <c r="L30" s="4"/>
      <c r="M30" s="4"/>
      <c r="N30" s="4"/>
      <c r="O30" s="4"/>
      <c r="Q30" s="13" t="e">
        <f>O30*$Q$15</f>
        <v>#DIV/0!</v>
      </c>
      <c r="R30" s="14"/>
      <c r="S30" s="1">
        <f>H30*24+I30+J30/60+K30/3600</f>
        <v>0</v>
      </c>
      <c r="T30" s="15" t="e">
        <f>Q15+(Q16-Q15)*(S30-S15)/(S16-S15)</f>
        <v>#DIV/0!</v>
      </c>
      <c r="U30" s="16" t="e">
        <f>O30*T30</f>
        <v>#DIV/0!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/>
      <c r="I31" s="4"/>
      <c r="J31" s="4"/>
      <c r="K31" s="4"/>
      <c r="L31" s="4"/>
      <c r="M31" s="4"/>
      <c r="N31" s="4"/>
      <c r="O31" s="4"/>
      <c r="Q31" s="13" t="e">
        <f>O31*$Q$15</f>
        <v>#DIV/0!</v>
      </c>
      <c r="R31" s="14"/>
      <c r="S31" s="1">
        <f>H31*24+I31+J31/60+K31/3600</f>
        <v>0</v>
      </c>
      <c r="T31" s="15" t="e">
        <f>Q15+(Q16-Q15)*(S31-S15)/(S16-S15)</f>
        <v>#DIV/0!</v>
      </c>
      <c r="U31" s="16" t="e">
        <f>O31*T31</f>
        <v>#DIV/0!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/>
      <c r="I32" s="4"/>
      <c r="J32" s="4"/>
      <c r="K32" s="4"/>
      <c r="L32" s="4"/>
      <c r="M32" s="4"/>
      <c r="N32" s="4"/>
      <c r="O32" s="4"/>
      <c r="Q32" s="13" t="e">
        <f>O32*$Q$15</f>
        <v>#DIV/0!</v>
      </c>
      <c r="R32" s="14"/>
      <c r="S32" s="1">
        <f>H32*24+I32+J32/60+K32/3600</f>
        <v>0</v>
      </c>
      <c r="T32" s="15" t="e">
        <f>Q15+(Q16-Q15)*(S32-S15)/(S16-S15)</f>
        <v>#DIV/0!</v>
      </c>
      <c r="U32" s="16" t="e">
        <f>O32*T32</f>
        <v>#DIV/0!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/>
      <c r="I33" s="4"/>
      <c r="J33" s="4"/>
      <c r="K33" s="4"/>
      <c r="L33" s="4"/>
      <c r="M33" s="4"/>
      <c r="N33" s="4"/>
      <c r="O33" s="4"/>
      <c r="Q33" s="13" t="e">
        <f>O33*$Q$15</f>
        <v>#DIV/0!</v>
      </c>
      <c r="R33" s="14"/>
      <c r="S33" s="1">
        <f>H33*24+I33+J33/60+K33/3600</f>
        <v>0</v>
      </c>
      <c r="T33" s="15" t="e">
        <f>Q15+(Q16-Q15)*(S33-S15)/(S16-S15)</f>
        <v>#DIV/0!</v>
      </c>
      <c r="U33" s="16" t="e">
        <f>O33*T33</f>
        <v>#DIV/0!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/>
      <c r="I34" s="4"/>
      <c r="J34" s="4"/>
      <c r="K34" s="4"/>
      <c r="L34" s="4"/>
      <c r="M34" s="4"/>
      <c r="N34" s="4"/>
      <c r="O34" s="4"/>
      <c r="Q34" s="13" t="e">
        <f>O34*$Q$15</f>
        <v>#DIV/0!</v>
      </c>
      <c r="R34" s="14"/>
      <c r="S34" s="1">
        <f>H34*24+I34+J34/60+K34/3600</f>
        <v>0</v>
      </c>
      <c r="T34" s="15" t="e">
        <f>Q15+(Q16-Q15)*(S34-S15)/(S16-S15)</f>
        <v>#DIV/0!</v>
      </c>
      <c r="U34" s="16" t="e">
        <f>O34*T34</f>
        <v>#DIV/0!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/>
      <c r="I35" s="4"/>
      <c r="J35" s="4"/>
      <c r="K35" s="4"/>
      <c r="L35" s="4"/>
      <c r="M35" s="4"/>
      <c r="N35" s="4"/>
      <c r="O35" s="4"/>
      <c r="Q35" s="13" t="e">
        <f>O35*$Q$15</f>
        <v>#DIV/0!</v>
      </c>
      <c r="R35" s="14"/>
      <c r="S35" s="1">
        <f>H35*24+I35+J35/60+K35/3600</f>
        <v>0</v>
      </c>
      <c r="T35" s="15" t="e">
        <f>Q15+(Q16-Q15)*(S35-S15)/(S16-S15)</f>
        <v>#DIV/0!</v>
      </c>
      <c r="U35" s="16" t="e">
        <f>O35*T35</f>
        <v>#DIV/0!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/>
      <c r="I36" s="4"/>
      <c r="J36" s="6"/>
      <c r="K36" s="6"/>
      <c r="L36" s="6"/>
      <c r="M36" s="6"/>
      <c r="N36" s="6"/>
      <c r="O36" s="6"/>
      <c r="P36" s="5"/>
      <c r="Q36" s="21" t="e">
        <f>O36*$Q$15</f>
        <v>#DIV/0!</v>
      </c>
      <c r="R36" s="22"/>
      <c r="S36" s="5">
        <f>H36*24+I36+J36/60+K36/3600</f>
        <v>0</v>
      </c>
      <c r="T36" s="23" t="e">
        <f>Q15+(Q16-Q15)*(S36-S15)/(S16-S15)</f>
        <v>#DIV/0!</v>
      </c>
      <c r="U36" s="24" t="e">
        <f>O36*T36</f>
        <v>#DIV/0!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/>
      <c r="I37" s="4"/>
      <c r="J37" s="4"/>
      <c r="K37" s="4"/>
      <c r="L37" s="4"/>
      <c r="M37" s="4"/>
      <c r="N37" s="4"/>
      <c r="O37" s="4"/>
      <c r="Q37" s="13" t="e">
        <f>O37*$Q$15</f>
        <v>#DIV/0!</v>
      </c>
      <c r="R37" s="14"/>
      <c r="S37" s="1">
        <f>H37*24+I37+J37/60+K37/3600</f>
        <v>0</v>
      </c>
      <c r="T37" s="15" t="e">
        <f>Q15+(Q16-Q15)*(S37-S15)/(S16-S15)</f>
        <v>#DIV/0!</v>
      </c>
      <c r="U37" s="16" t="e">
        <f>O37*T37</f>
        <v>#DIV/0!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/>
      <c r="I38" s="4"/>
      <c r="J38" s="4"/>
      <c r="K38" s="4"/>
      <c r="L38" s="4"/>
      <c r="M38" s="4"/>
      <c r="N38" s="4"/>
      <c r="O38" s="4"/>
      <c r="Q38" s="13" t="e">
        <f>O38*$Q$15</f>
        <v>#DIV/0!</v>
      </c>
      <c r="R38" s="14"/>
      <c r="S38" s="1">
        <f>H38*24+I38+J38/60+K38/3600</f>
        <v>0</v>
      </c>
      <c r="T38" s="15" t="e">
        <f>Q15+(Q16-Q15)*(S38-S15)/(S16-S15)</f>
        <v>#DIV/0!</v>
      </c>
      <c r="U38" s="16" t="e">
        <f>O38*T38</f>
        <v>#DIV/0!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/>
      <c r="I39" s="4"/>
      <c r="J39" s="6"/>
      <c r="K39" s="6"/>
      <c r="L39" s="6"/>
      <c r="M39" s="6"/>
      <c r="N39" s="6"/>
      <c r="O39" s="6"/>
      <c r="P39" s="5"/>
      <c r="Q39" s="21" t="e">
        <f>O39*$Q$15</f>
        <v>#DIV/0!</v>
      </c>
      <c r="R39" s="22"/>
      <c r="S39" s="5">
        <f>H39*24+I39+J39/60+K39/3600</f>
        <v>0</v>
      </c>
      <c r="T39" s="23" t="e">
        <f>Q15+(Q16-Q15)*(S39-S15)/(S16-S15)</f>
        <v>#DIV/0!</v>
      </c>
      <c r="U39" s="24" t="e">
        <f>O39*T39</f>
        <v>#DIV/0!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/>
      <c r="I40" s="4"/>
      <c r="J40" s="4"/>
      <c r="K40" s="4"/>
      <c r="L40" s="4"/>
      <c r="M40" s="4"/>
      <c r="N40" s="4"/>
      <c r="O40" s="4"/>
      <c r="Q40" s="13" t="e">
        <f>O40*$Q$15</f>
        <v>#DIV/0!</v>
      </c>
      <c r="R40" s="14"/>
      <c r="S40" s="1">
        <f>H40*24+I40+J40/60+K40/3600</f>
        <v>0</v>
      </c>
      <c r="T40" s="15" t="e">
        <f>Q15+(Q16-Q15)*(S40-S15)/(S16-S15)</f>
        <v>#DIV/0!</v>
      </c>
      <c r="U40" s="16" t="e">
        <f>O40*T40</f>
        <v>#DIV/0!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/>
      <c r="I41" s="4"/>
      <c r="J41" s="4"/>
      <c r="K41" s="4"/>
      <c r="L41" s="4"/>
      <c r="M41" s="4"/>
      <c r="N41" s="4"/>
      <c r="O41" s="4"/>
      <c r="Q41" s="13" t="e">
        <f>O41*$Q$15</f>
        <v>#DIV/0!</v>
      </c>
      <c r="R41" s="14"/>
      <c r="S41" s="1">
        <f>H41*24+I41+J41/60+K41/3600</f>
        <v>0</v>
      </c>
      <c r="T41" s="15" t="e">
        <f>Q15+(Q16-Q15)*(S41-S15)/(S16-S15)</f>
        <v>#DIV/0!</v>
      </c>
      <c r="U41" s="16" t="e">
        <f>O41*T41</f>
        <v>#DIV/0!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/>
      <c r="I42" s="4"/>
      <c r="J42" s="4"/>
      <c r="K42" s="4"/>
      <c r="L42" s="4"/>
      <c r="M42" s="4"/>
      <c r="N42" s="4"/>
      <c r="O42" s="4"/>
      <c r="Q42" s="13" t="e">
        <f>O42*$Q$15</f>
        <v>#DIV/0!</v>
      </c>
      <c r="R42" s="14"/>
      <c r="S42" s="1">
        <f>H42*24+I42+J42/60+K42/3600</f>
        <v>0</v>
      </c>
      <c r="T42" s="15" t="e">
        <f>Q15+(Q16-Q15)*(S42-S15)/(S16-S15)</f>
        <v>#DIV/0!</v>
      </c>
      <c r="U42" s="16" t="e">
        <f>O42*T42</f>
        <v>#DIV/0!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/>
      <c r="I43" s="4"/>
      <c r="J43" s="4"/>
      <c r="K43" s="4"/>
      <c r="L43" s="4"/>
      <c r="M43" s="4"/>
      <c r="N43" s="4"/>
      <c r="O43" s="4"/>
      <c r="Q43" s="13" t="e">
        <f>O43*$Q$15</f>
        <v>#DIV/0!</v>
      </c>
      <c r="R43" s="14"/>
      <c r="S43" s="1">
        <f>H43*24+I43+J43/60+K43/3600</f>
        <v>0</v>
      </c>
      <c r="T43" s="15" t="e">
        <f>Q15+(Q16-Q15)*(S43-S15)/(S16-S15)</f>
        <v>#DIV/0!</v>
      </c>
      <c r="U43" s="16" t="e">
        <f>O43*T43</f>
        <v>#DIV/0!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/>
      <c r="I44" s="4"/>
      <c r="J44" s="4"/>
      <c r="K44" s="4"/>
      <c r="L44" s="4"/>
      <c r="M44" s="4"/>
      <c r="N44" s="4"/>
      <c r="O44" s="4"/>
      <c r="Q44" s="13" t="e">
        <f>O44*$Q$15</f>
        <v>#DIV/0!</v>
      </c>
      <c r="R44" s="14"/>
      <c r="S44" s="1">
        <f>H44*24+I44+J44/60+K44/3600</f>
        <v>0</v>
      </c>
      <c r="T44" s="15" t="e">
        <f>Q15+(Q16-Q15)*(S44-S15)/(S16-S15)</f>
        <v>#DIV/0!</v>
      </c>
      <c r="U44" s="16" t="e">
        <f>O44*T44</f>
        <v>#DIV/0!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/>
      <c r="I45" s="4"/>
      <c r="J45" s="4"/>
      <c r="K45" s="4"/>
      <c r="L45" s="4"/>
      <c r="M45" s="4"/>
      <c r="N45" s="4"/>
      <c r="O45" s="4"/>
      <c r="Q45" s="13" t="e">
        <f>O45*$Q$15</f>
        <v>#DIV/0!</v>
      </c>
      <c r="R45" s="14"/>
      <c r="S45" s="1">
        <f>H45*24+I45+J45/60+K45/3600</f>
        <v>0</v>
      </c>
      <c r="T45" s="15" t="e">
        <f>Q15+(Q16-Q15)*(S45-S15)/(S16-S15)</f>
        <v>#DIV/0!</v>
      </c>
      <c r="U45" s="16" t="e">
        <f>O45*T45</f>
        <v>#DIV/0!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/>
      <c r="I46" s="4"/>
      <c r="J46" s="4"/>
      <c r="K46" s="4"/>
      <c r="L46" s="4"/>
      <c r="M46" s="4"/>
      <c r="N46" s="4"/>
      <c r="O46" s="4"/>
      <c r="Q46" s="13" t="e">
        <f>O46*$Q$15</f>
        <v>#DIV/0!</v>
      </c>
      <c r="R46" s="14"/>
      <c r="S46" s="1">
        <f>H46*24+I46+J46/60+K46/3600</f>
        <v>0</v>
      </c>
      <c r="T46" s="15" t="e">
        <f>Q15+(Q16-Q15)*(S46-S15)/(S16-S15)</f>
        <v>#DIV/0!</v>
      </c>
      <c r="U46" s="16" t="e">
        <f>O46*T46</f>
        <v>#DIV/0!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/>
      <c r="I47" s="4"/>
      <c r="J47" s="4"/>
      <c r="K47" s="4"/>
      <c r="L47" s="4"/>
      <c r="M47" s="4"/>
      <c r="N47" s="4"/>
      <c r="O47" s="4"/>
      <c r="Q47" s="13" t="e">
        <f>O47*$Q$15</f>
        <v>#DIV/0!</v>
      </c>
      <c r="R47" s="14"/>
      <c r="S47" s="1">
        <f>H47*24+I47+J47/60+K47/3600</f>
        <v>0</v>
      </c>
      <c r="T47" s="15" t="e">
        <f>Q15+(Q16-Q15)*(S47-S15)/(S16-S15)</f>
        <v>#DIV/0!</v>
      </c>
      <c r="U47" s="16" t="e">
        <f>O47*T47</f>
        <v>#DIV/0!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/>
      <c r="I48" s="4"/>
      <c r="J48" s="4"/>
      <c r="K48" s="4"/>
      <c r="L48" s="4"/>
      <c r="M48" s="4"/>
      <c r="N48" s="4"/>
      <c r="O48" s="4"/>
      <c r="Q48" s="13" t="e">
        <f>O48*$Q$15</f>
        <v>#DIV/0!</v>
      </c>
      <c r="R48" s="14"/>
      <c r="S48" s="1">
        <f>H48*24+I48+J48/60+K48/3600</f>
        <v>0</v>
      </c>
      <c r="T48" s="15" t="e">
        <f>Q15+(Q16-Q15)*(S48-S15)/(S16-S15)</f>
        <v>#DIV/0!</v>
      </c>
      <c r="U48" s="16" t="e">
        <f>O48*T48</f>
        <v>#DIV/0!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/>
      <c r="I49" s="4"/>
      <c r="J49" s="4"/>
      <c r="K49" s="4"/>
      <c r="L49" s="4"/>
      <c r="M49" s="4"/>
      <c r="N49" s="4"/>
      <c r="O49" s="4"/>
      <c r="Q49" s="13" t="e">
        <f>O49*$Q$15</f>
        <v>#DIV/0!</v>
      </c>
      <c r="R49" s="14"/>
      <c r="S49" s="1">
        <f>H49*24+I49+J49/60+K49/3600</f>
        <v>0</v>
      </c>
      <c r="T49" s="15" t="e">
        <f>Q15+(Q16-Q15)*(S49-S15)/(S16-S15)</f>
        <v>#DIV/0!</v>
      </c>
      <c r="U49" s="16" t="e">
        <f>O49*T49</f>
        <v>#DIV/0!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/>
      <c r="I50" s="4"/>
      <c r="J50" s="4"/>
      <c r="K50" s="4"/>
      <c r="L50" s="4"/>
      <c r="M50" s="4"/>
      <c r="N50" s="4"/>
      <c r="O50" s="4"/>
      <c r="Q50" s="13" t="e">
        <f>O50*$Q$15</f>
        <v>#DIV/0!</v>
      </c>
      <c r="R50" s="14"/>
      <c r="S50" s="1">
        <f>H50*24+I50+J50/60+K50/3600</f>
        <v>0</v>
      </c>
      <c r="T50" s="15" t="e">
        <f>Q15+(Q16-Q15)*(S50-S15)/(S16-S15)</f>
        <v>#DIV/0!</v>
      </c>
      <c r="U50" s="16" t="e">
        <f>O50*T50</f>
        <v>#DIV/0!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/>
      <c r="I51" s="4"/>
      <c r="J51" s="4"/>
      <c r="K51" s="4"/>
      <c r="L51" s="4"/>
      <c r="M51" s="4"/>
      <c r="N51" s="4"/>
      <c r="O51" s="4"/>
      <c r="Q51" s="13" t="e">
        <f>O51*$Q$15</f>
        <v>#DIV/0!</v>
      </c>
      <c r="R51" s="14"/>
      <c r="S51" s="1">
        <f>H51*24+I51+J51/60+K51/3600</f>
        <v>0</v>
      </c>
      <c r="T51" s="15" t="e">
        <f>Q15+(Q16-Q15)*(S51-S15)/(S16-S15)</f>
        <v>#DIV/0!</v>
      </c>
      <c r="U51" s="16" t="e">
        <f>O51*T51</f>
        <v>#DIV/0!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/>
      <c r="I52" s="4"/>
      <c r="J52" s="4"/>
      <c r="K52" s="4"/>
      <c r="L52" s="4"/>
      <c r="M52" s="4"/>
      <c r="N52" s="4"/>
      <c r="O52" s="4"/>
      <c r="Q52" s="13" t="e">
        <f>O52*$Q$15</f>
        <v>#DIV/0!</v>
      </c>
      <c r="R52" s="14"/>
      <c r="S52" s="1">
        <f>H52*24+I52+J52/60+K52/3600</f>
        <v>0</v>
      </c>
      <c r="T52" s="15" t="e">
        <f>Q15+(Q16-Q15)*(S52-S15)/(S16-S15)</f>
        <v>#DIV/0!</v>
      </c>
      <c r="U52" s="16" t="e">
        <f>O52*T52</f>
        <v>#DIV/0!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/>
      <c r="I53" s="4"/>
      <c r="J53" s="4"/>
      <c r="K53" s="4"/>
      <c r="L53" s="4"/>
      <c r="M53" s="4"/>
      <c r="N53" s="4"/>
      <c r="O53" s="4"/>
      <c r="Q53" s="13" t="e">
        <f>O53*$Q$15</f>
        <v>#DIV/0!</v>
      </c>
      <c r="R53" s="14"/>
      <c r="S53" s="1">
        <f>H53*24+I53+J53/60+K53/3600</f>
        <v>0</v>
      </c>
      <c r="T53" s="15" t="e">
        <f>Q15+(Q16-Q15)*(S53-S15)/(S16-S15)</f>
        <v>#DIV/0!</v>
      </c>
      <c r="U53" s="16" t="e">
        <f>O53*T53</f>
        <v>#DIV/0!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/>
      <c r="I54" s="4"/>
      <c r="J54" s="4"/>
      <c r="K54" s="4"/>
      <c r="L54" s="4"/>
      <c r="M54" s="4"/>
      <c r="N54" s="4"/>
      <c r="O54" s="4"/>
      <c r="Q54" s="13" t="e">
        <f>O54*$Q$15</f>
        <v>#DIV/0!</v>
      </c>
      <c r="R54" s="14"/>
      <c r="S54" s="1">
        <f>H54*24+I54+J54/60+K54/3600</f>
        <v>0</v>
      </c>
      <c r="T54" s="15" t="e">
        <f>Q15+(Q16-Q15)*(S54-S15)/(S16-S15)</f>
        <v>#DIV/0!</v>
      </c>
      <c r="U54" s="16" t="e">
        <f>O54*T54</f>
        <v>#DIV/0!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/>
      <c r="I55" s="4"/>
      <c r="J55" s="4"/>
      <c r="K55" s="4"/>
      <c r="L55" s="4"/>
      <c r="M55" s="4"/>
      <c r="N55" s="4"/>
      <c r="O55" s="4"/>
      <c r="Q55" s="13" t="e">
        <f>O55*$Q$15</f>
        <v>#DIV/0!</v>
      </c>
      <c r="R55" s="14"/>
      <c r="S55" s="1">
        <f>H55*24+I55+J55/60+K55/3600</f>
        <v>0</v>
      </c>
      <c r="T55" s="15" t="e">
        <f>Q15+(Q16-Q15)*(S55-S15)/(S16-S15)</f>
        <v>#DIV/0!</v>
      </c>
      <c r="U55" s="16" t="e">
        <f>O55*T55</f>
        <v>#DIV/0!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/>
      <c r="I56" s="4"/>
      <c r="J56" s="4"/>
      <c r="K56" s="4"/>
      <c r="L56" s="4"/>
      <c r="M56" s="4"/>
      <c r="N56" s="4"/>
      <c r="O56" s="4"/>
      <c r="Q56" s="13" t="e">
        <f>O56*$Q$15</f>
        <v>#DIV/0!</v>
      </c>
      <c r="R56" s="14"/>
      <c r="S56" s="1">
        <f>H56*24+I56+J56/60+K56/3600</f>
        <v>0</v>
      </c>
      <c r="T56" s="15" t="e">
        <f>Q15+(Q16-Q15)*(S56-S15)/(S16-S15)</f>
        <v>#DIV/0!</v>
      </c>
      <c r="U56" s="16" t="e">
        <f>O56*T56</f>
        <v>#DIV/0!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/>
      <c r="I57" s="4"/>
      <c r="J57" s="4"/>
      <c r="K57" s="4"/>
      <c r="L57" s="4"/>
      <c r="M57" s="4"/>
      <c r="N57" s="4"/>
      <c r="O57" s="4"/>
      <c r="Q57" s="13" t="e">
        <f>O57*$Q$15</f>
        <v>#DIV/0!</v>
      </c>
      <c r="R57" s="14"/>
      <c r="S57" s="1">
        <f>H57*24+I57+J57/60+K57/3600</f>
        <v>0</v>
      </c>
      <c r="T57" s="15" t="e">
        <f>Q15+(Q16-Q15)*(S57-S15)/(S16-S15)</f>
        <v>#DIV/0!</v>
      </c>
      <c r="U57" s="16" t="e">
        <f>O57*T57</f>
        <v>#DIV/0!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/>
      <c r="I58" s="4"/>
      <c r="J58" s="4"/>
      <c r="K58" s="4"/>
      <c r="L58" s="4"/>
      <c r="M58" s="4"/>
      <c r="N58" s="4"/>
      <c r="O58" s="4"/>
      <c r="Q58" s="13" t="e">
        <f>O58*$Q$15</f>
        <v>#DIV/0!</v>
      </c>
      <c r="R58" s="14"/>
      <c r="S58" s="1">
        <f>H58*24+I58+J58/60+K58/3600</f>
        <v>0</v>
      </c>
      <c r="T58" s="15" t="e">
        <f>Q15+(Q16-Q15)*(S58-S15)/(S16-S15)</f>
        <v>#DIV/0!</v>
      </c>
      <c r="U58" s="16" t="e">
        <f>O58*T58</f>
        <v>#DIV/0!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/>
      <c r="I59" s="4"/>
      <c r="J59" s="4"/>
      <c r="K59" s="4"/>
      <c r="L59" s="4"/>
      <c r="M59" s="4"/>
      <c r="N59" s="4"/>
      <c r="O59" s="4"/>
      <c r="Q59" s="13" t="e">
        <f>O59*$Q$15</f>
        <v>#DIV/0!</v>
      </c>
      <c r="R59" s="14"/>
      <c r="S59" s="1">
        <f>H59*24+I59+J59/60+K59/3600</f>
        <v>0</v>
      </c>
      <c r="T59" s="15" t="e">
        <f>Q15+(Q16-Q15)*(S59-S15)/(S16-S15)</f>
        <v>#DIV/0!</v>
      </c>
      <c r="U59" s="16" t="e">
        <f>O59*T59</f>
        <v>#DIV/0!</v>
      </c>
    </row>
    <row r="60" spans="1:2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/>
      <c r="I60" s="4"/>
      <c r="J60" s="4"/>
      <c r="K60" s="4"/>
      <c r="L60" s="4"/>
      <c r="M60" s="4"/>
      <c r="N60" s="4"/>
      <c r="O60" s="4"/>
      <c r="Q60" s="13" t="e">
        <f>O60*$Q$15</f>
        <v>#DIV/0!</v>
      </c>
      <c r="R60" s="14"/>
      <c r="S60" s="1">
        <f>H60*24+I60+J60/60+K60/3600</f>
        <v>0</v>
      </c>
      <c r="T60" s="15" t="e">
        <f>Q15+(Q16-Q15)*(S60-S15)/(S16-S15)</f>
        <v>#DIV/0!</v>
      </c>
      <c r="U60" s="16" t="e">
        <f>O60*T60</f>
        <v>#DIV/0!</v>
      </c>
    </row>
    <row r="61" spans="1:21">
      <c r="A61"/>
      <c r="C61" s="18">
        <v>43</v>
      </c>
      <c r="D61" s="12"/>
      <c r="E61" s="12"/>
      <c r="F61" s="4">
        <v>2013</v>
      </c>
      <c r="G61" s="4">
        <v>7</v>
      </c>
      <c r="H61" s="4"/>
      <c r="I61" s="4"/>
      <c r="J61" s="4"/>
      <c r="K61" s="4"/>
      <c r="L61" s="4"/>
      <c r="M61" s="4"/>
      <c r="N61" s="4"/>
      <c r="O61" s="4"/>
      <c r="Q61" s="13" t="e">
        <f>O61*$Q$15</f>
        <v>#DIV/0!</v>
      </c>
      <c r="R61" s="14"/>
      <c r="S61" s="1">
        <f>H61*24+I61+J61/60+K61/3600</f>
        <v>0</v>
      </c>
      <c r="T61" s="15" t="e">
        <f>Q15+(Q16-Q15)*(S61-S15)/(S16-S15)</f>
        <v>#DIV/0!</v>
      </c>
      <c r="U61" s="16" t="e">
        <f>O61*T61</f>
        <v>#DIV/0!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/>
      <c r="I62" s="4"/>
      <c r="J62" s="4"/>
      <c r="K62" s="4"/>
      <c r="L62" s="4"/>
      <c r="M62" s="4"/>
      <c r="N62" s="4"/>
      <c r="O62" s="4"/>
      <c r="Q62" s="13" t="e">
        <f>O62*$Q$15</f>
        <v>#DIV/0!</v>
      </c>
      <c r="R62" s="14"/>
      <c r="S62" s="1">
        <f>H62*24+I62+J62/60+K62/3600</f>
        <v>0</v>
      </c>
      <c r="T62" s="15" t="e">
        <f>Q15+(Q16-Q15)*(S62-S15)/(S16-S15)</f>
        <v>#DIV/0!</v>
      </c>
      <c r="U62" s="16" t="e">
        <f>O62*T62</f>
        <v>#DIV/0!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/>
      <c r="I63" s="4"/>
      <c r="J63" s="4"/>
      <c r="K63" s="4"/>
      <c r="L63" s="4"/>
      <c r="M63" s="4"/>
      <c r="N63" s="4"/>
      <c r="O63" s="4"/>
      <c r="Q63" s="13" t="e">
        <f>O63*$Q$15</f>
        <v>#DIV/0!</v>
      </c>
      <c r="R63" s="14"/>
      <c r="S63" s="1">
        <f>H63*24+I63+J63/60+K63/3600</f>
        <v>0</v>
      </c>
      <c r="T63" s="15" t="e">
        <f>Q15+(Q16-Q15)*(S63-S15)/(S16-S15)</f>
        <v>#DIV/0!</v>
      </c>
      <c r="U63" s="16" t="e">
        <f>O63*T63</f>
        <v>#DIV/0!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/>
      <c r="I64" s="4"/>
      <c r="J64" s="4"/>
      <c r="K64" s="4"/>
      <c r="L64" s="4"/>
      <c r="M64" s="4"/>
      <c r="N64" s="4"/>
      <c r="O64" s="4"/>
      <c r="Q64" s="13" t="e">
        <f>O64*$Q$15</f>
        <v>#DIV/0!</v>
      </c>
      <c r="R64" s="14"/>
      <c r="S64" s="1">
        <f>H64*24+I64+J64/60+K64/3600</f>
        <v>0</v>
      </c>
      <c r="T64" s="15" t="e">
        <f>Q15+(Q16-Q15)*(S64-S15)/(S16-S15)</f>
        <v>#DIV/0!</v>
      </c>
      <c r="U64" s="16" t="e">
        <f>O64*T64</f>
        <v>#DIV/0!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/>
      <c r="I65" s="4"/>
      <c r="J65" s="4"/>
      <c r="K65" s="4"/>
      <c r="L65" s="4"/>
      <c r="M65" s="4"/>
      <c r="N65" s="4"/>
      <c r="O65" s="4"/>
      <c r="Q65" s="13" t="e">
        <f>O65*$Q$15</f>
        <v>#DIV/0!</v>
      </c>
      <c r="R65" s="14"/>
      <c r="S65" s="1">
        <f>H65*24+I65+J65/60+K65/3600</f>
        <v>0</v>
      </c>
      <c r="T65" s="15" t="e">
        <f>Q15+(Q16-Q15)*(S65-S15)/(S16-S15)</f>
        <v>#DIV/0!</v>
      </c>
      <c r="U65" s="16" t="e">
        <f>O65*T65</f>
        <v>#DIV/0!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/>
      <c r="I66" s="4"/>
      <c r="J66" s="4"/>
      <c r="K66" s="4"/>
      <c r="L66" s="4"/>
      <c r="M66" s="4"/>
      <c r="N66" s="4"/>
      <c r="O66" s="4"/>
      <c r="Q66" s="13" t="e">
        <f>O66*$Q$15</f>
        <v>#DIV/0!</v>
      </c>
      <c r="R66" s="14"/>
      <c r="S66" s="1">
        <f>H66*24+I66+J66/60+K66/3600</f>
        <v>0</v>
      </c>
      <c r="T66" s="15" t="e">
        <f>Q15+(Q16-Q15)*(S66-S15)/(S16-S15)</f>
        <v>#DIV/0!</v>
      </c>
      <c r="U66" s="16" t="e">
        <f>O66*T66</f>
        <v>#DIV/0!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/>
      <c r="I67" s="4"/>
      <c r="J67" s="4"/>
      <c r="K67" s="4"/>
      <c r="L67" s="4"/>
      <c r="M67" s="4"/>
      <c r="N67" s="4"/>
      <c r="O67" s="4"/>
      <c r="Q67" s="13" t="e">
        <f>O67*$Q$15</f>
        <v>#DIV/0!</v>
      </c>
      <c r="R67" s="14"/>
      <c r="S67" s="1">
        <f>H67*24+I67+J67/60+K67/3600</f>
        <v>0</v>
      </c>
      <c r="T67" s="15" t="e">
        <f>Q15+(Q16-Q15)*(S67-S15)/(S16-S15)</f>
        <v>#DIV/0!</v>
      </c>
      <c r="U67" s="16" t="e">
        <f>O67*T67</f>
        <v>#DIV/0!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/>
      <c r="I68" s="4"/>
      <c r="J68" s="4"/>
      <c r="K68" s="4"/>
      <c r="L68" s="4"/>
      <c r="M68" s="4"/>
      <c r="N68" s="4"/>
      <c r="O68" s="4"/>
      <c r="Q68" s="13" t="e">
        <f>O68*$Q$15</f>
        <v>#DIV/0!</v>
      </c>
      <c r="R68" s="14"/>
      <c r="S68" s="1">
        <f>H68*24+I68+J68/60+K68/3600</f>
        <v>0</v>
      </c>
      <c r="T68" s="15" t="e">
        <f>Q15+(Q16-Q15)*(S68-S15)/(S16-S15)</f>
        <v>#DIV/0!</v>
      </c>
      <c r="U68" s="16" t="e">
        <f>O68*T68</f>
        <v>#DIV/0!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/>
      <c r="I69" s="4"/>
      <c r="J69" s="4"/>
      <c r="K69" s="4"/>
      <c r="L69" s="4"/>
      <c r="M69" s="4"/>
      <c r="N69" s="4"/>
      <c r="O69" s="4"/>
      <c r="Q69" s="13" t="e">
        <f>O69*$Q$15</f>
        <v>#DIV/0!</v>
      </c>
      <c r="R69" s="14"/>
      <c r="S69" s="1">
        <f>H69*24+I69+J69/60+K69/3600</f>
        <v>0</v>
      </c>
      <c r="T69" s="15" t="e">
        <f>Q15+(Q16-Q15)*(S69-S15)/(S16-S15)</f>
        <v>#DIV/0!</v>
      </c>
      <c r="U69" s="16" t="e">
        <f>O69*T69</f>
        <v>#DIV/0!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/>
      <c r="I70" s="4"/>
      <c r="J70" s="4"/>
      <c r="K70" s="4"/>
      <c r="L70" s="4"/>
      <c r="M70" s="4"/>
      <c r="N70" s="4"/>
      <c r="O70" s="4"/>
      <c r="Q70" s="13" t="e">
        <f>O70*$Q$15</f>
        <v>#DIV/0!</v>
      </c>
      <c r="R70" s="14"/>
      <c r="S70" s="1">
        <f>H70*24+I70+J70/60+K70/3600</f>
        <v>0</v>
      </c>
      <c r="T70" s="15" t="e">
        <f>Q15+(Q16-Q15)*(S70-S15)/(S16-S15)</f>
        <v>#DIV/0!</v>
      </c>
      <c r="U70" s="16" t="e">
        <f>O70*T70</f>
        <v>#DIV/0!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/>
      <c r="I71" s="4"/>
      <c r="J71" s="4"/>
      <c r="K71" s="4"/>
      <c r="L71" s="4"/>
      <c r="M71" s="4"/>
      <c r="N71" s="4"/>
      <c r="O71" s="4"/>
      <c r="Q71" s="13" t="e">
        <f>O71*$Q$15</f>
        <v>#DIV/0!</v>
      </c>
      <c r="R71" s="14"/>
      <c r="S71" s="1">
        <f>H71*24+I71+J71/60+K71/3600</f>
        <v>0</v>
      </c>
      <c r="T71" s="15" t="e">
        <f>Q15+(Q16-Q15)*(S71-S15)/(S16-S15)</f>
        <v>#DIV/0!</v>
      </c>
      <c r="U71" s="16" t="e">
        <f>O71*T71</f>
        <v>#DIV/0!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/>
      <c r="I72" s="4"/>
      <c r="J72" s="4"/>
      <c r="K72" s="4"/>
      <c r="L72" s="4"/>
      <c r="M72" s="4"/>
      <c r="N72" s="4"/>
      <c r="O72" s="4"/>
      <c r="Q72" s="13" t="e">
        <f>O72*$Q$15</f>
        <v>#DIV/0!</v>
      </c>
      <c r="R72" s="14"/>
      <c r="S72" s="1">
        <f>H72*24+I72+J72/60+K72/3600</f>
        <v>0</v>
      </c>
      <c r="T72" s="15" t="e">
        <f>Q15+(Q16-Q15)*(S72-S15)/(S16-S15)</f>
        <v>#DIV/0!</v>
      </c>
      <c r="U72" s="16" t="e">
        <f>O72*T72</f>
        <v>#DIV/0!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/>
      <c r="I73" s="4"/>
      <c r="J73" s="29"/>
      <c r="K73" s="29"/>
      <c r="L73" s="29"/>
      <c r="M73" s="29"/>
      <c r="N73" s="29"/>
      <c r="O73" s="29"/>
      <c r="P73" s="2"/>
      <c r="Q73" s="30" t="e">
        <f>O73*$Q$15</f>
        <v>#DIV/0!</v>
      </c>
      <c r="R73" s="31"/>
      <c r="S73" s="2">
        <f>H73*24+I73+J73/60+K73/3600</f>
        <v>0</v>
      </c>
      <c r="T73" s="32" t="e">
        <f>Q15+(Q16-Q15)*(S73-S15)/(S16-S15)</f>
        <v>#DIV/0!</v>
      </c>
      <c r="U73" s="33" t="e">
        <f>O73*T73</f>
        <v>#DIV/0!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/>
      <c r="I74" s="4"/>
      <c r="J74" s="4"/>
      <c r="K74" s="4"/>
      <c r="L74" s="4"/>
      <c r="M74" s="4"/>
      <c r="N74" s="4"/>
      <c r="O74" s="4"/>
      <c r="Q74" s="13" t="e">
        <f>O74*$Q$15</f>
        <v>#DIV/0!</v>
      </c>
      <c r="R74" s="14"/>
      <c r="S74" s="1">
        <f>H74*24+I74+J74/60+K74/3600</f>
        <v>0</v>
      </c>
      <c r="T74" s="15" t="e">
        <f>Q15+(Q16-Q15)*(S74-S15)/(S16-S15)</f>
        <v>#DIV/0!</v>
      </c>
      <c r="U74" s="16" t="e">
        <f>O74*T74</f>
        <v>#DIV/0!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/>
      <c r="I75" s="4"/>
      <c r="J75" s="4"/>
      <c r="K75" s="4"/>
      <c r="L75" s="4"/>
      <c r="M75" s="4"/>
      <c r="N75" s="4"/>
      <c r="O75" s="4"/>
      <c r="Q75" s="13" t="e">
        <f>O75*$Q$15</f>
        <v>#DIV/0!</v>
      </c>
      <c r="R75" s="14"/>
      <c r="S75" s="1">
        <f>H75*24+I75+J75/60+K75/3600</f>
        <v>0</v>
      </c>
      <c r="T75" s="15" t="e">
        <f>Q15+(Q16-Q15)*(S75-S15)/(S16-S15)</f>
        <v>#DIV/0!</v>
      </c>
      <c r="U75" s="16" t="e">
        <f>O75*T75</f>
        <v>#DIV/0!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/>
      <c r="I76" s="4"/>
      <c r="J76" s="4"/>
      <c r="K76" s="4"/>
      <c r="L76" s="4"/>
      <c r="M76" s="4"/>
      <c r="N76" s="4"/>
      <c r="O76" s="4"/>
      <c r="Q76" s="13" t="e">
        <f>O76*$Q$15</f>
        <v>#DIV/0!</v>
      </c>
      <c r="R76" s="14"/>
      <c r="S76" s="1">
        <f>H76*24+I76+J76/60+K76/3600</f>
        <v>0</v>
      </c>
      <c r="T76" s="15" t="e">
        <f>Q15+(Q16-Q15)*(S76-S15)/(S16-S15)</f>
        <v>#DIV/0!</v>
      </c>
      <c r="U76" s="16" t="e">
        <f>O76*T76</f>
        <v>#DIV/0!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/>
      <c r="I77" s="4"/>
      <c r="J77" s="4"/>
      <c r="K77" s="4"/>
      <c r="L77" s="4"/>
      <c r="M77" s="4"/>
      <c r="N77" s="4"/>
      <c r="O77" s="4"/>
      <c r="Q77" s="13" t="e">
        <f>O77*$Q$15</f>
        <v>#DIV/0!</v>
      </c>
      <c r="R77" s="14"/>
      <c r="S77" s="1">
        <f>H77*24+I77+J77/60+K77/3600</f>
        <v>0</v>
      </c>
      <c r="T77" s="15" t="e">
        <f>Q15+(Q16-Q15)*(S77-S15)/(S16-S15)</f>
        <v>#DIV/0!</v>
      </c>
      <c r="U77" s="16" t="e">
        <f>O77*T77</f>
        <v>#DIV/0!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/>
      <c r="I78" s="4"/>
      <c r="J78" s="4"/>
      <c r="K78" s="4"/>
      <c r="L78" s="4"/>
      <c r="M78" s="4"/>
      <c r="N78" s="4"/>
      <c r="O78" s="4"/>
      <c r="Q78" s="13" t="e">
        <f>O78*$Q$15</f>
        <v>#DIV/0!</v>
      </c>
      <c r="R78" s="14"/>
      <c r="S78" s="1">
        <f>H78*24+I78+J78/60+K78/3600</f>
        <v>0</v>
      </c>
      <c r="T78" s="15" t="e">
        <f>Q15+(Q16-Q15)*(S78-S15)/(S16-S15)</f>
        <v>#DIV/0!</v>
      </c>
      <c r="U78" s="16" t="e">
        <f>O78*T78</f>
        <v>#DIV/0!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/>
      <c r="I79" s="4"/>
      <c r="J79" s="4"/>
      <c r="K79" s="4"/>
      <c r="L79" s="4"/>
      <c r="M79" s="4"/>
      <c r="N79" s="4"/>
      <c r="O79" s="4"/>
      <c r="Q79" s="13" t="e">
        <f>O79*$Q$15</f>
        <v>#DIV/0!</v>
      </c>
      <c r="R79" s="14"/>
      <c r="S79" s="1">
        <f>H79*24+I79+J79/60+K79/3600</f>
        <v>0</v>
      </c>
      <c r="T79" s="15" t="e">
        <f>Q15+(Q16-Q15)*(S79-S15)/(S16-S15)</f>
        <v>#DIV/0!</v>
      </c>
      <c r="U79" s="16" t="e">
        <f>O79*T79</f>
        <v>#DIV/0!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/>
      <c r="I80" s="4"/>
      <c r="J80" s="4"/>
      <c r="K80" s="4"/>
      <c r="L80" s="4"/>
      <c r="M80" s="4"/>
      <c r="N80" s="4"/>
      <c r="O80" s="4"/>
      <c r="Q80" s="13" t="e">
        <f>O80*$Q$15</f>
        <v>#DIV/0!</v>
      </c>
      <c r="R80" s="14"/>
      <c r="S80" s="1">
        <f>H80*24+I80+J80/60+K80/3600</f>
        <v>0</v>
      </c>
      <c r="T80" s="15" t="e">
        <f>Q15+(Q16-Q15)*(S80-S15)/(S16-S15)</f>
        <v>#DIV/0!</v>
      </c>
      <c r="U80" s="16" t="e">
        <f>O80*T80</f>
        <v>#DIV/0!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/>
      <c r="I81" s="4"/>
      <c r="J81" s="4"/>
      <c r="K81" s="4"/>
      <c r="L81" s="4"/>
      <c r="M81" s="4"/>
      <c r="N81" s="4"/>
      <c r="O81" s="4"/>
      <c r="Q81" s="13" t="e">
        <f>O81*$Q$15</f>
        <v>#DIV/0!</v>
      </c>
      <c r="R81" s="14"/>
      <c r="S81" s="1">
        <f>H81*24+I81+J81/60+K81/3600</f>
        <v>0</v>
      </c>
      <c r="T81" s="15" t="e">
        <f>Q15+(Q16-Q15)*(S81-S15)/(S16-S15)</f>
        <v>#DIV/0!</v>
      </c>
      <c r="U81" s="33" t="e">
        <f>O81*T81</f>
        <v>#DIV/0!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/>
      <c r="I82" s="4"/>
      <c r="J82" s="4"/>
      <c r="K82" s="4"/>
      <c r="L82" s="4"/>
      <c r="M82" s="4"/>
      <c r="N82" s="4"/>
      <c r="O82" s="4"/>
      <c r="Q82" s="13" t="e">
        <f>O82*$Q$15</f>
        <v>#DIV/0!</v>
      </c>
      <c r="R82" s="14"/>
      <c r="S82" s="1">
        <f>H82*24+I82+J82/60+K82/3600</f>
        <v>0</v>
      </c>
      <c r="T82" s="15" t="e">
        <f>Q15+(Q16-Q15)*(S82-S15)/(S16-S15)</f>
        <v>#DIV/0!</v>
      </c>
      <c r="U82" s="16" t="e">
        <f>O82*T82</f>
        <v>#DIV/0!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/>
      <c r="I83" s="4"/>
      <c r="J83" s="4"/>
      <c r="K83" s="4"/>
      <c r="L83" s="4"/>
      <c r="M83" s="4"/>
      <c r="N83" s="4"/>
      <c r="O83" s="4"/>
      <c r="Q83" s="13" t="e">
        <f>O83*$Q$15</f>
        <v>#DIV/0!</v>
      </c>
      <c r="R83" s="14"/>
      <c r="S83" s="1">
        <f>H83*24+I83+J83/60+K83/3600</f>
        <v>0</v>
      </c>
      <c r="T83" s="15" t="e">
        <f>Q15+(Q16-Q15)*(S83-S15)/(S16-S15)</f>
        <v>#DIV/0!</v>
      </c>
      <c r="U83" s="16" t="e">
        <f>O83*T83</f>
        <v>#DIV/0!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/>
      <c r="I84" s="4"/>
      <c r="J84" s="4"/>
      <c r="K84" s="4"/>
      <c r="L84" s="4"/>
      <c r="M84" s="4"/>
      <c r="N84" s="4"/>
      <c r="O84" s="4"/>
      <c r="Q84" s="13" t="e">
        <f>O84*$Q$15</f>
        <v>#DIV/0!</v>
      </c>
      <c r="R84" s="14"/>
      <c r="S84" s="1">
        <f>H84*24+I84+J84/60+K84/3600</f>
        <v>0</v>
      </c>
      <c r="T84" s="15" t="e">
        <f>Q15+(Q16-Q15)*(S84-S15)/(S16-S15)</f>
        <v>#DIV/0!</v>
      </c>
      <c r="U84" s="16" t="e">
        <f>O84*T84</f>
        <v>#DIV/0!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/>
      <c r="I85" s="4"/>
      <c r="J85" s="4"/>
      <c r="K85" s="4"/>
      <c r="L85" s="4"/>
      <c r="M85" s="4"/>
      <c r="N85" s="4"/>
      <c r="O85" s="4"/>
      <c r="Q85" s="13" t="e">
        <f>O85*$Q$15</f>
        <v>#DIV/0!</v>
      </c>
      <c r="R85" s="14"/>
      <c r="S85" s="1">
        <f>H85*24+I85+J85/60+K85/3600</f>
        <v>0</v>
      </c>
      <c r="T85" s="15" t="e">
        <f>Q$15+(Q$16-Q$15)*(S85-S$15)/(S$16-S$15)</f>
        <v>#DIV/0!</v>
      </c>
      <c r="U85" s="16" t="e">
        <f>O85*T85</f>
        <v>#DIV/0!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/>
      <c r="I86" s="4"/>
      <c r="J86" s="4"/>
      <c r="K86" s="4"/>
      <c r="L86" s="4"/>
      <c r="M86" s="4"/>
      <c r="N86" s="4"/>
      <c r="O86" s="4"/>
      <c r="Q86" s="13" t="e">
        <f>O86*$Q$15</f>
        <v>#DIV/0!</v>
      </c>
      <c r="R86" s="14"/>
      <c r="S86" s="1">
        <f>H86*24+I86+J86/60+K86/3600</f>
        <v>0</v>
      </c>
      <c r="T86" s="15" t="e">
        <f>Q$15+(Q$16-Q$15)*(S86-S$15)/(S$16-S$15)</f>
        <v>#DIV/0!</v>
      </c>
      <c r="U86" s="16" t="e">
        <f>O86*T86</f>
        <v>#DIV/0!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/>
      <c r="I87" s="4"/>
      <c r="J87" s="29"/>
      <c r="K87" s="29"/>
      <c r="L87" s="29"/>
      <c r="M87" s="29"/>
      <c r="N87" s="29"/>
      <c r="O87" s="29"/>
      <c r="P87" s="2"/>
      <c r="Q87" s="30" t="e">
        <f>O87*$Q$15</f>
        <v>#DIV/0!</v>
      </c>
      <c r="R87" s="31"/>
      <c r="S87" s="2">
        <f>H87*24+I87+J87/60+K87/3600</f>
        <v>0</v>
      </c>
      <c r="T87" s="15" t="e">
        <f>Q$15+(Q$16-Q$15)*(S87-S$15)/(S$16-S$15)</f>
        <v>#DIV/0!</v>
      </c>
      <c r="U87" s="16" t="e">
        <f>O87*T87</f>
        <v>#DIV/0!</v>
      </c>
    </row>
    <row r="88" spans="1:21">
      <c r="C88" s="18">
        <v>70</v>
      </c>
      <c r="F88" s="4">
        <v>2013</v>
      </c>
      <c r="G88" s="4">
        <v>7</v>
      </c>
      <c r="H88" s="4"/>
      <c r="I88" s="4"/>
      <c r="Q88" s="34" t="e">
        <f>O88*$Q$15</f>
        <v>#DIV/0!</v>
      </c>
      <c r="S88" s="1">
        <f>H88*24+I88+J88/60+K88/3600</f>
        <v>0</v>
      </c>
      <c r="T88" s="15" t="e">
        <f>Q$15+(Q$16-Q$15)*(S88-S$15)/(S$16-S$15)</f>
        <v>#DIV/0!</v>
      </c>
      <c r="U88" s="16" t="e">
        <f>O88*T88</f>
        <v>#DIV/0!</v>
      </c>
    </row>
    <row r="89" spans="1:21" ht="15.75">
      <c r="C89">
        <v>71</v>
      </c>
      <c r="F89" s="4">
        <v>2013</v>
      </c>
      <c r="G89" s="4">
        <v>7</v>
      </c>
      <c r="H89" s="4"/>
      <c r="I89" s="4"/>
      <c r="Q89" s="34" t="e">
        <f>O89*$Q$15</f>
        <v>#DIV/0!</v>
      </c>
      <c r="S89" s="1">
        <f>H89*24+I89+J89/60+K89/3600</f>
        <v>0</v>
      </c>
      <c r="T89" s="15" t="e">
        <f>Q$15+(Q$16-Q$15)*(S89-S$15)/(S$16-S$15)</f>
        <v>#DIV/0!</v>
      </c>
      <c r="U89" s="33" t="e">
        <f>O89*T89</f>
        <v>#DIV/0!</v>
      </c>
    </row>
    <row r="90" spans="1:21">
      <c r="C90" s="18">
        <v>72</v>
      </c>
      <c r="F90" s="4">
        <v>2013</v>
      </c>
      <c r="G90" s="4">
        <v>7</v>
      </c>
      <c r="H90" s="4"/>
      <c r="I90" s="4"/>
      <c r="Q90" s="34" t="e">
        <f>O90*$Q$15</f>
        <v>#DIV/0!</v>
      </c>
      <c r="S90" s="1">
        <f>H90*24+I90+J90/60+K90/3600</f>
        <v>0</v>
      </c>
      <c r="T90" s="15" t="e">
        <f>Q$15+(Q$16-Q$15)*(S90-S$15)/(S$16-S$15)</f>
        <v>#DIV/0!</v>
      </c>
      <c r="U90" s="16" t="e">
        <f>O90*T90</f>
        <v>#DIV/0!</v>
      </c>
    </row>
    <row r="91" spans="1:21">
      <c r="C91" s="18">
        <v>73</v>
      </c>
      <c r="F91" s="4">
        <v>2013</v>
      </c>
      <c r="G91" s="4">
        <v>7</v>
      </c>
      <c r="H91" s="4"/>
      <c r="I91" s="4"/>
      <c r="Q91" s="34" t="e">
        <f>O91*$Q$15</f>
        <v>#DIV/0!</v>
      </c>
      <c r="S91" s="1">
        <f>H91*24+I91+J91/60+K91/3600</f>
        <v>0</v>
      </c>
      <c r="T91" s="15" t="e">
        <f>Q$15+(Q$16-Q$15)*(S91-S$15)/(S$16-S$15)</f>
        <v>#DIV/0!</v>
      </c>
      <c r="U91" s="16" t="e">
        <f>O91*T91</f>
        <v>#DIV/0!</v>
      </c>
    </row>
    <row r="92" spans="1:21">
      <c r="C92">
        <v>74</v>
      </c>
      <c r="F92" s="4">
        <v>2013</v>
      </c>
      <c r="G92" s="4">
        <v>7</v>
      </c>
      <c r="H92" s="4"/>
      <c r="I92" s="4"/>
      <c r="Q92" s="34" t="e">
        <f>O92*$Q$15</f>
        <v>#DIV/0!</v>
      </c>
      <c r="S92" s="1">
        <f>H92*24+I92+J92/60+K92/3600</f>
        <v>0</v>
      </c>
      <c r="T92" s="15" t="e">
        <f>Q$15+(Q$16-Q$15)*(S92-S$15)/(S$16-S$15)</f>
        <v>#DIV/0!</v>
      </c>
      <c r="U92" s="16" t="e">
        <f>O92*T92</f>
        <v>#DIV/0!</v>
      </c>
    </row>
    <row r="93" spans="1:21">
      <c r="C93" s="18">
        <v>75</v>
      </c>
      <c r="F93" s="4">
        <v>2013</v>
      </c>
      <c r="G93" s="4">
        <v>7</v>
      </c>
      <c r="H93" s="4"/>
      <c r="I93" s="4"/>
      <c r="Q93" s="34" t="e">
        <f>O93*$Q$15</f>
        <v>#DIV/0!</v>
      </c>
      <c r="S93" s="1">
        <f>H93*24+I93+J93/60+K93/3600</f>
        <v>0</v>
      </c>
      <c r="T93" s="15" t="e">
        <f>Q$15+(Q$16-Q$15)*(S93-S$15)/(S$16-S$15)</f>
        <v>#DIV/0!</v>
      </c>
      <c r="U93" s="16" t="e">
        <f>O93*T93</f>
        <v>#DIV/0!</v>
      </c>
    </row>
    <row r="94" spans="1:21">
      <c r="C94" s="18">
        <v>76</v>
      </c>
      <c r="F94" s="4">
        <v>2013</v>
      </c>
      <c r="G94" s="4">
        <v>7</v>
      </c>
      <c r="H94" s="4"/>
      <c r="I94" s="4"/>
      <c r="Q94" s="34" t="e">
        <f>O94*$Q$15</f>
        <v>#DIV/0!</v>
      </c>
      <c r="S94" s="1">
        <f>H94*24+I94+J94/60+K94/3600</f>
        <v>0</v>
      </c>
      <c r="T94" s="15" t="e">
        <f>Q$15+(Q$16-Q$15)*(S94-S$15)/(S$16-S$15)</f>
        <v>#DIV/0!</v>
      </c>
      <c r="U94" s="16" t="e">
        <f>O94*T94</f>
        <v>#DIV/0!</v>
      </c>
    </row>
    <row r="95" spans="1:21">
      <c r="C95">
        <v>77</v>
      </c>
      <c r="F95" s="4">
        <v>2013</v>
      </c>
      <c r="G95" s="4">
        <v>7</v>
      </c>
      <c r="H95" s="4"/>
      <c r="I95" s="4"/>
      <c r="Q95" s="34" t="e">
        <f>O95*$Q$15</f>
        <v>#DIV/0!</v>
      </c>
      <c r="S95" s="1">
        <f>H95*24+I95+J95/60+K95/3600</f>
        <v>0</v>
      </c>
      <c r="T95" s="15" t="e">
        <f>Q$15+(Q$16-Q$15)*(S95-S$15)/(S$16-S$15)</f>
        <v>#DIV/0!</v>
      </c>
      <c r="U95" s="16" t="e">
        <f>O95*T95</f>
        <v>#DIV/0!</v>
      </c>
    </row>
    <row r="96" spans="1:21">
      <c r="C96" s="18">
        <v>78</v>
      </c>
      <c r="F96" s="4">
        <v>2013</v>
      </c>
      <c r="G96" s="4">
        <v>7</v>
      </c>
      <c r="H96" s="4"/>
      <c r="I96" s="4"/>
      <c r="Q96" s="34" t="e">
        <f>O96*$Q$15</f>
        <v>#DIV/0!</v>
      </c>
      <c r="S96" s="1">
        <f>H96*24+I96+J96/60+K96/3600</f>
        <v>0</v>
      </c>
      <c r="T96" s="15" t="e">
        <f>Q$15+(Q$16-Q$15)*(S96-S$15)/(S$16-S$15)</f>
        <v>#DIV/0!</v>
      </c>
      <c r="U96" s="16" t="e">
        <f>O96*T96</f>
        <v>#DIV/0!</v>
      </c>
    </row>
    <row r="97" spans="3:21" ht="15.75">
      <c r="C97" s="18">
        <v>79</v>
      </c>
      <c r="F97" s="4">
        <v>2013</v>
      </c>
      <c r="G97" s="4">
        <v>7</v>
      </c>
      <c r="H97" s="4"/>
      <c r="I97" s="4"/>
      <c r="Q97" s="34" t="e">
        <f>O97*$Q$15</f>
        <v>#DIV/0!</v>
      </c>
      <c r="S97" s="1">
        <f>H97*24+I97+J97/60+K97/3600</f>
        <v>0</v>
      </c>
      <c r="T97" s="15" t="e">
        <f>Q$15+(Q$16-Q$15)*(S97-S$15)/(S$16-S$15)</f>
        <v>#DIV/0!</v>
      </c>
      <c r="U97" s="33" t="e">
        <f>O97*T97</f>
        <v>#DIV/0!</v>
      </c>
    </row>
    <row r="98" spans="3:21">
      <c r="C98">
        <v>80</v>
      </c>
      <c r="F98" s="4">
        <v>2013</v>
      </c>
      <c r="G98" s="4">
        <v>7</v>
      </c>
      <c r="H98" s="4"/>
      <c r="I98" s="4"/>
      <c r="Q98" s="34" t="e">
        <f>O98*$Q$15</f>
        <v>#DIV/0!</v>
      </c>
      <c r="S98" s="1">
        <f>H98*24+I98+J98/60+K98/3600</f>
        <v>0</v>
      </c>
      <c r="T98" s="15" t="e">
        <f>Q$15+(Q$16-Q$15)*(S98-S$15)/(S$16-S$15)</f>
        <v>#DIV/0!</v>
      </c>
      <c r="U98" s="16" t="e">
        <f>O98*T98</f>
        <v>#DIV/0!</v>
      </c>
    </row>
    <row r="99" spans="3:21">
      <c r="C99" s="18">
        <v>81</v>
      </c>
      <c r="F99" s="4">
        <v>2013</v>
      </c>
      <c r="G99" s="4">
        <v>7</v>
      </c>
      <c r="H99" s="4"/>
      <c r="I99" s="4"/>
      <c r="Q99" s="34" t="e">
        <f>O99*$Q$15</f>
        <v>#DIV/0!</v>
      </c>
      <c r="S99" s="1">
        <f>H99*24+I99+J99/60+K99/3600</f>
        <v>0</v>
      </c>
      <c r="T99" s="15" t="e">
        <f>Q$15+(Q$16-Q$15)*(S99-S$15)/(S$16-S$15)</f>
        <v>#DIV/0!</v>
      </c>
      <c r="U99" s="16" t="e">
        <f>O99*T99</f>
        <v>#DIV/0!</v>
      </c>
    </row>
    <row r="100" spans="3:21">
      <c r="C100" s="18">
        <v>82</v>
      </c>
      <c r="F100" s="4">
        <v>2013</v>
      </c>
      <c r="G100" s="4">
        <v>7</v>
      </c>
      <c r="H100" s="4"/>
      <c r="I100" s="4"/>
      <c r="Q100" s="34" t="e">
        <f>O100*$Q$15</f>
        <v>#DIV/0!</v>
      </c>
      <c r="S100" s="1">
        <f>H100*24+I100+J100/60+K100/3600</f>
        <v>0</v>
      </c>
      <c r="T100" s="15" t="e">
        <f>Q$15+(Q$16-Q$15)*(S100-S$15)/(S$16-S$15)</f>
        <v>#DIV/0!</v>
      </c>
      <c r="U100" s="16" t="e">
        <f>O100*T100</f>
        <v>#DIV/0!</v>
      </c>
    </row>
    <row r="101" spans="3:21">
      <c r="C101">
        <v>83</v>
      </c>
      <c r="F101" s="4">
        <v>2013</v>
      </c>
      <c r="G101" s="4">
        <v>7</v>
      </c>
      <c r="H101" s="4"/>
      <c r="I101" s="4"/>
      <c r="Q101" s="34" t="e">
        <f>O101*$Q$15</f>
        <v>#DIV/0!</v>
      </c>
      <c r="S101" s="1">
        <f>H101*24+I101+J101/60+K101/3600</f>
        <v>0</v>
      </c>
      <c r="T101" s="15" t="e">
        <f>Q$15+(Q$16-Q$15)*(S101-S$15)/(S$16-S$15)</f>
        <v>#DIV/0!</v>
      </c>
      <c r="U101" s="16" t="e">
        <f>O101*T101</f>
        <v>#DIV/0!</v>
      </c>
    </row>
    <row r="102" spans="3:21">
      <c r="C102" s="18">
        <v>84</v>
      </c>
      <c r="F102" s="4">
        <v>2013</v>
      </c>
      <c r="G102" s="4">
        <v>7</v>
      </c>
      <c r="H102" s="4"/>
      <c r="I102" s="4"/>
      <c r="Q102" s="34" t="e">
        <f>O102*$Q$15</f>
        <v>#DIV/0!</v>
      </c>
      <c r="S102" s="1">
        <f>H102*24+I102+J102/60+K102/3600</f>
        <v>0</v>
      </c>
      <c r="T102" s="15" t="e">
        <f>Q$15+(Q$16-Q$15)*(S102-S$15)/(S$16-S$15)</f>
        <v>#DIV/0!</v>
      </c>
      <c r="U102" s="16" t="e">
        <f>O102*T102</f>
        <v>#DIV/0!</v>
      </c>
    </row>
  </sheetData>
  <conditionalFormatting sqref="N88:N65536">
    <cfRule type="cellIs" dxfId="16" priority="2" operator="greaterThan">
      <formula>300000</formula>
    </cfRule>
  </conditionalFormatting>
  <conditionalFormatting sqref="Q19:Q87">
    <cfRule type="cellIs" dxfId="15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2"/>
  <sheetViews>
    <sheetView zoomScale="93" zoomScaleNormal="93" workbookViewId="0">
      <pane ySplit="1" topLeftCell="A5" activePane="bottomLeft" state="frozen"/>
      <selection pane="bottomLeft" activeCell="AU20" sqref="AU20"/>
    </sheetView>
  </sheetViews>
  <sheetFormatPr defaultRowHeight="15"/>
  <cols>
    <col min="1" max="15" width="8.85546875"/>
    <col min="16" max="16" width="13.140625"/>
    <col min="17" max="17" width="10.140625"/>
    <col min="18" max="24" width="8.5703125"/>
    <col min="25" max="25" width="9.140625" style="35"/>
    <col min="26" max="47" width="8.5703125"/>
    <col min="48" max="48" width="10.140625"/>
    <col min="49" max="1025" width="8.5703125"/>
  </cols>
  <sheetData>
    <row r="1" spans="1:48" s="36" customFormat="1" ht="65.25" customHeight="1">
      <c r="A1" s="36" t="s">
        <v>49</v>
      </c>
      <c r="B1" s="36" t="s">
        <v>50</v>
      </c>
      <c r="C1" s="36" t="s">
        <v>51</v>
      </c>
      <c r="D1" s="36" t="s">
        <v>4</v>
      </c>
      <c r="E1" s="36" t="s">
        <v>52</v>
      </c>
      <c r="F1" s="36" t="s">
        <v>53</v>
      </c>
      <c r="G1" s="36" t="s">
        <v>54</v>
      </c>
      <c r="H1" s="36" t="s">
        <v>55</v>
      </c>
      <c r="I1" s="36" t="s">
        <v>56</v>
      </c>
      <c r="J1" s="36" t="s">
        <v>57</v>
      </c>
      <c r="K1" s="36" t="s">
        <v>58</v>
      </c>
      <c r="L1" s="36" t="s">
        <v>59</v>
      </c>
      <c r="M1" s="36" t="s">
        <v>60</v>
      </c>
      <c r="N1" s="36" t="s">
        <v>61</v>
      </c>
      <c r="O1" s="36" t="s">
        <v>62</v>
      </c>
      <c r="P1" s="36" t="s">
        <v>63</v>
      </c>
      <c r="Q1" s="36" t="s">
        <v>64</v>
      </c>
      <c r="R1" s="36" t="s">
        <v>65</v>
      </c>
      <c r="S1" s="36" t="s">
        <v>66</v>
      </c>
      <c r="T1" s="36" t="s">
        <v>67</v>
      </c>
      <c r="U1" s="36" t="s">
        <v>68</v>
      </c>
      <c r="V1" s="36" t="s">
        <v>69</v>
      </c>
      <c r="X1" s="36" t="s">
        <v>70</v>
      </c>
      <c r="Y1" s="37" t="s">
        <v>71</v>
      </c>
      <c r="Z1" s="36" t="s">
        <v>72</v>
      </c>
    </row>
    <row r="2" spans="1:48" ht="15.75">
      <c r="A2">
        <v>1</v>
      </c>
      <c r="B2" t="s">
        <v>11</v>
      </c>
      <c r="C2">
        <v>15</v>
      </c>
      <c r="D2" t="s">
        <v>73</v>
      </c>
      <c r="E2">
        <v>1</v>
      </c>
      <c r="F2">
        <v>57.561999999999998</v>
      </c>
      <c r="G2" s="35">
        <v>3</v>
      </c>
      <c r="H2" s="35">
        <v>12</v>
      </c>
      <c r="I2">
        <f>SUM(G2:H2)</f>
        <v>15</v>
      </c>
      <c r="J2">
        <v>0.27780834224825401</v>
      </c>
      <c r="K2">
        <f>(J2*I2)*0.6</f>
        <v>2.5002750802342861</v>
      </c>
      <c r="L2">
        <v>2</v>
      </c>
      <c r="M2">
        <v>0.5</v>
      </c>
      <c r="N2">
        <f>K2-(L2+M2)</f>
        <v>2.7508023428612915E-4</v>
      </c>
      <c r="O2" s="35">
        <f>I2+K2+F2</f>
        <v>75.062275080234286</v>
      </c>
      <c r="P2">
        <v>75.09</v>
      </c>
      <c r="Q2">
        <f>O2-P2</f>
        <v>-2.7724919765717004E-2</v>
      </c>
      <c r="T2">
        <f>S2-R2</f>
        <v>0</v>
      </c>
      <c r="U2" t="s">
        <v>74</v>
      </c>
      <c r="X2">
        <v>3</v>
      </c>
      <c r="Y2"/>
      <c r="Z2">
        <f>(Y2-O2)+0.25</f>
        <v>-74.812275080234286</v>
      </c>
    </row>
    <row r="3" spans="1:48" ht="15.75">
      <c r="A3">
        <v>2</v>
      </c>
      <c r="B3" t="s">
        <v>11</v>
      </c>
      <c r="C3">
        <v>15</v>
      </c>
      <c r="D3" t="s">
        <v>73</v>
      </c>
      <c r="E3">
        <v>2</v>
      </c>
      <c r="F3">
        <v>57.573</v>
      </c>
      <c r="G3" s="35">
        <v>3</v>
      </c>
      <c r="H3" s="38">
        <v>12</v>
      </c>
      <c r="I3">
        <f>SUM(G3:H3)</f>
        <v>15</v>
      </c>
      <c r="J3">
        <v>0.27780834224825401</v>
      </c>
      <c r="K3">
        <f>(J3*I3)*0.6</f>
        <v>2.5002750802342861</v>
      </c>
      <c r="L3">
        <v>2</v>
      </c>
      <c r="M3">
        <v>0.5</v>
      </c>
      <c r="N3">
        <f>K3-(L3+M3)</f>
        <v>2.7508023428612915E-4</v>
      </c>
      <c r="O3" s="35">
        <f>I3+K3+F3</f>
        <v>75.073275080234282</v>
      </c>
      <c r="P3">
        <v>75.099999999999994</v>
      </c>
      <c r="Q3">
        <f>O3-P3</f>
        <v>-2.6724919765712229E-2</v>
      </c>
      <c r="T3">
        <f>S3-R3</f>
        <v>0</v>
      </c>
      <c r="U3" t="s">
        <v>74</v>
      </c>
      <c r="X3">
        <v>3</v>
      </c>
      <c r="Y3"/>
      <c r="Z3">
        <f>(Y3-O3)+0.25</f>
        <v>-74.823275080234282</v>
      </c>
      <c r="AT3" t="s">
        <v>75</v>
      </c>
      <c r="AV3" s="39">
        <v>41479</v>
      </c>
    </row>
    <row r="4" spans="1:48" ht="15.75">
      <c r="A4">
        <v>3</v>
      </c>
      <c r="B4" t="s">
        <v>11</v>
      </c>
      <c r="C4">
        <v>15</v>
      </c>
      <c r="D4" t="s">
        <v>73</v>
      </c>
      <c r="E4">
        <v>3</v>
      </c>
      <c r="F4">
        <v>59.277000000000001</v>
      </c>
      <c r="G4" s="35">
        <v>3</v>
      </c>
      <c r="H4" s="35">
        <v>12</v>
      </c>
      <c r="I4">
        <f>SUM(G4:H4)</f>
        <v>15</v>
      </c>
      <c r="J4">
        <v>0.27780834224825401</v>
      </c>
      <c r="K4">
        <f>(J4*I4)*0.6</f>
        <v>2.5002750802342861</v>
      </c>
      <c r="L4">
        <v>2</v>
      </c>
      <c r="M4">
        <v>0.5</v>
      </c>
      <c r="N4">
        <f>K4-(L4+M4)</f>
        <v>2.7508023428612915E-4</v>
      </c>
      <c r="O4" s="35">
        <f>I4+K4+F4</f>
        <v>76.77727508023429</v>
      </c>
      <c r="P4">
        <v>76.8</v>
      </c>
      <c r="Q4">
        <f>O4-P4</f>
        <v>-2.2724919765707341E-2</v>
      </c>
      <c r="T4">
        <f>S4-R4</f>
        <v>0</v>
      </c>
      <c r="U4" t="s">
        <v>74</v>
      </c>
      <c r="X4">
        <v>3</v>
      </c>
      <c r="Y4"/>
      <c r="Z4">
        <f>(Y4-O4)+0.25</f>
        <v>-76.52727508023429</v>
      </c>
      <c r="AT4" t="s">
        <v>50</v>
      </c>
      <c r="AU4" t="s">
        <v>76</v>
      </c>
      <c r="AV4" t="s">
        <v>77</v>
      </c>
    </row>
    <row r="5" spans="1:48" ht="15.75">
      <c r="A5">
        <v>4</v>
      </c>
      <c r="B5" t="s">
        <v>11</v>
      </c>
      <c r="C5">
        <v>15</v>
      </c>
      <c r="D5" t="s">
        <v>73</v>
      </c>
      <c r="E5">
        <v>4</v>
      </c>
      <c r="F5">
        <v>57.994999999999997</v>
      </c>
      <c r="G5" s="35">
        <v>3</v>
      </c>
      <c r="H5" s="38">
        <v>12</v>
      </c>
      <c r="I5">
        <f>SUM(G5:H5)</f>
        <v>15</v>
      </c>
      <c r="J5">
        <v>0.27780834224825401</v>
      </c>
      <c r="K5">
        <f>(J5*I5)*0.6</f>
        <v>2.5002750802342861</v>
      </c>
      <c r="L5">
        <v>2</v>
      </c>
      <c r="M5">
        <v>0.5</v>
      </c>
      <c r="N5">
        <f>K5-(L5+M5)</f>
        <v>2.7508023428612915E-4</v>
      </c>
      <c r="O5" s="35">
        <f>I5+K5+F5</f>
        <v>75.495275080234279</v>
      </c>
      <c r="P5">
        <v>75.510000000000005</v>
      </c>
      <c r="Q5">
        <f>O5-P5</f>
        <v>-1.4724919765725986E-2</v>
      </c>
      <c r="T5">
        <f>S5-R5</f>
        <v>0</v>
      </c>
      <c r="U5" t="s">
        <v>74</v>
      </c>
      <c r="X5">
        <v>3</v>
      </c>
      <c r="Y5"/>
      <c r="Z5">
        <f>(Y5-O5)+0.25</f>
        <v>-75.245275080234279</v>
      </c>
      <c r="AT5" t="s">
        <v>78</v>
      </c>
      <c r="AU5" t="s">
        <v>79</v>
      </c>
      <c r="AV5">
        <v>86</v>
      </c>
    </row>
    <row r="6" spans="1:48" ht="15.75">
      <c r="A6">
        <v>5</v>
      </c>
      <c r="B6" t="s">
        <v>11</v>
      </c>
      <c r="C6">
        <v>15</v>
      </c>
      <c r="D6" t="s">
        <v>73</v>
      </c>
      <c r="E6">
        <v>5</v>
      </c>
      <c r="F6">
        <v>58.243000000000002</v>
      </c>
      <c r="G6" s="35">
        <v>3</v>
      </c>
      <c r="H6" s="35">
        <v>12</v>
      </c>
      <c r="I6">
        <f>SUM(G6:H6)</f>
        <v>15</v>
      </c>
      <c r="J6">
        <v>0.27780834224825401</v>
      </c>
      <c r="K6">
        <f>(J6*I6)*0.6</f>
        <v>2.5002750802342861</v>
      </c>
      <c r="L6">
        <v>2</v>
      </c>
      <c r="M6">
        <v>0.5</v>
      </c>
      <c r="N6">
        <f>K6-(L6+M6)</f>
        <v>2.7508023428612915E-4</v>
      </c>
      <c r="O6" s="35">
        <f>I6+K6+F6</f>
        <v>75.743275080234284</v>
      </c>
      <c r="P6">
        <v>75.72</v>
      </c>
      <c r="Q6">
        <f>O6-P6</f>
        <v>2.3275080234284928E-2</v>
      </c>
      <c r="T6">
        <f>S6-R6</f>
        <v>0</v>
      </c>
      <c r="U6" t="s">
        <v>74</v>
      </c>
      <c r="X6">
        <v>3</v>
      </c>
      <c r="Y6"/>
      <c r="Z6">
        <f>(Y6-O6)+0.25</f>
        <v>-75.493275080234284</v>
      </c>
      <c r="AT6" t="s">
        <v>78</v>
      </c>
      <c r="AU6" t="s">
        <v>79</v>
      </c>
      <c r="AV6">
        <v>87</v>
      </c>
    </row>
    <row r="7" spans="1:48" ht="15.75">
      <c r="A7">
        <v>6</v>
      </c>
      <c r="B7" t="s">
        <v>11</v>
      </c>
      <c r="C7">
        <v>15</v>
      </c>
      <c r="D7" t="s">
        <v>80</v>
      </c>
      <c r="E7">
        <v>1</v>
      </c>
      <c r="F7">
        <v>58.338000000000001</v>
      </c>
      <c r="G7" s="35">
        <v>3</v>
      </c>
      <c r="H7" s="38">
        <v>12</v>
      </c>
      <c r="I7">
        <f>SUM(G7:H7)</f>
        <v>15</v>
      </c>
      <c r="J7">
        <v>0.27780834224825401</v>
      </c>
      <c r="K7">
        <f>(J7*I7)*0.6</f>
        <v>2.5002750802342861</v>
      </c>
      <c r="L7">
        <v>2</v>
      </c>
      <c r="M7">
        <v>0</v>
      </c>
      <c r="N7">
        <f>K7-(L7+M7)</f>
        <v>0.50027508023428613</v>
      </c>
      <c r="O7" s="35">
        <f>I7+K7+F7</f>
        <v>75.838275080234283</v>
      </c>
      <c r="P7">
        <v>75.86</v>
      </c>
      <c r="Q7">
        <f>O7-P7</f>
        <v>-2.1724919765716777E-2</v>
      </c>
      <c r="T7">
        <f>S7-R7</f>
        <v>0</v>
      </c>
      <c r="X7">
        <v>3</v>
      </c>
      <c r="Y7"/>
      <c r="Z7">
        <f>(Y7-O7)+0.25</f>
        <v>-75.588275080234283</v>
      </c>
      <c r="AT7" t="s">
        <v>78</v>
      </c>
      <c r="AU7" t="s">
        <v>79</v>
      </c>
      <c r="AV7">
        <v>88</v>
      </c>
    </row>
    <row r="8" spans="1:48" ht="15.75">
      <c r="A8">
        <v>7</v>
      </c>
      <c r="B8" t="s">
        <v>11</v>
      </c>
      <c r="C8">
        <v>15</v>
      </c>
      <c r="D8" t="s">
        <v>80</v>
      </c>
      <c r="E8">
        <v>2</v>
      </c>
      <c r="F8">
        <v>57.756</v>
      </c>
      <c r="G8" s="35">
        <v>3</v>
      </c>
      <c r="H8" s="35">
        <v>12</v>
      </c>
      <c r="I8">
        <f>SUM(G8:H8)</f>
        <v>15</v>
      </c>
      <c r="J8">
        <v>0.27780834224825401</v>
      </c>
      <c r="K8">
        <f>(J8*I8)*0.6</f>
        <v>2.5002750802342861</v>
      </c>
      <c r="L8">
        <v>2</v>
      </c>
      <c r="M8">
        <v>0</v>
      </c>
      <c r="N8">
        <f>K8-(L8+M8)</f>
        <v>0.50027508023428613</v>
      </c>
      <c r="O8" s="35">
        <f>I8+K8+F8</f>
        <v>75.256275080234289</v>
      </c>
      <c r="P8">
        <v>75.27</v>
      </c>
      <c r="Q8">
        <f>O8-P8</f>
        <v>-1.3724919765707E-2</v>
      </c>
      <c r="T8">
        <f>S8-R8</f>
        <v>0</v>
      </c>
      <c r="X8">
        <v>3</v>
      </c>
      <c r="Y8"/>
      <c r="Z8">
        <f>(Y8-O8)+0.25</f>
        <v>-75.006275080234289</v>
      </c>
      <c r="AT8" t="s">
        <v>78</v>
      </c>
      <c r="AU8" t="s">
        <v>81</v>
      </c>
      <c r="AV8">
        <v>93</v>
      </c>
    </row>
    <row r="9" spans="1:48" ht="15.75">
      <c r="A9">
        <v>8</v>
      </c>
      <c r="B9" t="s">
        <v>11</v>
      </c>
      <c r="C9">
        <v>15</v>
      </c>
      <c r="D9" t="s">
        <v>80</v>
      </c>
      <c r="E9">
        <v>3</v>
      </c>
      <c r="F9">
        <v>57.905999999999999</v>
      </c>
      <c r="G9" s="35">
        <v>3</v>
      </c>
      <c r="H9" s="38">
        <v>12</v>
      </c>
      <c r="I9">
        <f>SUM(G9:H9)</f>
        <v>15</v>
      </c>
      <c r="J9">
        <v>0.27780834224825401</v>
      </c>
      <c r="K9">
        <f>(J9*I9)*0.6</f>
        <v>2.5002750802342861</v>
      </c>
      <c r="L9">
        <v>2</v>
      </c>
      <c r="M9">
        <v>0</v>
      </c>
      <c r="N9">
        <f>K9-(L9+M9)</f>
        <v>0.50027508023428613</v>
      </c>
      <c r="O9" s="35">
        <f>I9+K9+F9</f>
        <v>75.40627508023428</v>
      </c>
      <c r="P9">
        <v>75.41</v>
      </c>
      <c r="Q9">
        <f>O9-P9</f>
        <v>-3.7249197657160948E-3</v>
      </c>
      <c r="T9">
        <f>S9-R9</f>
        <v>0</v>
      </c>
      <c r="X9">
        <v>3</v>
      </c>
      <c r="Y9"/>
      <c r="Z9">
        <f>(Y9-O9)+0.25</f>
        <v>-75.15627508023428</v>
      </c>
      <c r="AT9" t="s">
        <v>78</v>
      </c>
      <c r="AU9" t="s">
        <v>81</v>
      </c>
      <c r="AV9">
        <v>94</v>
      </c>
    </row>
    <row r="10" spans="1:48" ht="15.75">
      <c r="A10">
        <v>9</v>
      </c>
      <c r="B10" t="s">
        <v>11</v>
      </c>
      <c r="C10">
        <v>15</v>
      </c>
      <c r="D10" t="s">
        <v>80</v>
      </c>
      <c r="E10">
        <v>4</v>
      </c>
      <c r="F10">
        <v>57.777999999999999</v>
      </c>
      <c r="G10" s="35">
        <v>3</v>
      </c>
      <c r="H10" s="35">
        <v>12</v>
      </c>
      <c r="I10">
        <f>SUM(G10:H10)</f>
        <v>15</v>
      </c>
      <c r="J10">
        <v>0.27780834224825401</v>
      </c>
      <c r="K10">
        <f>(J10*I10)*0.6</f>
        <v>2.5002750802342861</v>
      </c>
      <c r="L10">
        <v>2</v>
      </c>
      <c r="M10">
        <v>0</v>
      </c>
      <c r="N10">
        <f>K10-(L10+M10)</f>
        <v>0.50027508023428613</v>
      </c>
      <c r="O10" s="35">
        <f>I10+K10+F10</f>
        <v>75.27827508023428</v>
      </c>
      <c r="P10">
        <v>75.290000000000006</v>
      </c>
      <c r="Q10">
        <f>O10-P10</f>
        <v>-1.1724919765725872E-2</v>
      </c>
      <c r="T10">
        <f>S10-R10</f>
        <v>0</v>
      </c>
      <c r="X10">
        <v>3</v>
      </c>
      <c r="Y10"/>
      <c r="Z10">
        <f>(Y10-O10)+0.25</f>
        <v>-75.02827508023428</v>
      </c>
      <c r="AT10" t="s">
        <v>78</v>
      </c>
      <c r="AU10" t="s">
        <v>81</v>
      </c>
      <c r="AV10">
        <v>95</v>
      </c>
    </row>
    <row r="11" spans="1:48" ht="15.75">
      <c r="A11">
        <v>10</v>
      </c>
      <c r="B11" t="s">
        <v>11</v>
      </c>
      <c r="C11">
        <v>15</v>
      </c>
      <c r="D11" t="s">
        <v>80</v>
      </c>
      <c r="E11">
        <v>5</v>
      </c>
      <c r="F11">
        <v>58.731999999999999</v>
      </c>
      <c r="G11" s="35">
        <v>3</v>
      </c>
      <c r="H11" s="38">
        <v>12</v>
      </c>
      <c r="I11">
        <f>SUM(G11:H11)</f>
        <v>15</v>
      </c>
      <c r="J11">
        <v>0.27780834224825401</v>
      </c>
      <c r="K11">
        <f>(J11*I11)*0.6</f>
        <v>2.5002750802342861</v>
      </c>
      <c r="L11">
        <v>2</v>
      </c>
      <c r="M11">
        <v>0</v>
      </c>
      <c r="N11">
        <f>K11-(L11+M11)</f>
        <v>0.50027508023428613</v>
      </c>
      <c r="O11" s="35">
        <f>I11+K11+F11</f>
        <v>76.232275080234288</v>
      </c>
      <c r="P11">
        <v>76.23</v>
      </c>
      <c r="Q11">
        <f>O11-P11</f>
        <v>2.2750802342841325E-3</v>
      </c>
      <c r="T11">
        <f>S11-R11</f>
        <v>0</v>
      </c>
      <c r="X11">
        <v>3</v>
      </c>
      <c r="Y11"/>
      <c r="Z11">
        <f>(Y11-O11)+0.25</f>
        <v>-75.982275080234288</v>
      </c>
      <c r="AC11" t="s">
        <v>82</v>
      </c>
      <c r="AT11" t="s">
        <v>83</v>
      </c>
      <c r="AU11" t="s">
        <v>79</v>
      </c>
      <c r="AV11">
        <v>89</v>
      </c>
    </row>
    <row r="12" spans="1:48" ht="15.75">
      <c r="A12">
        <v>85</v>
      </c>
      <c r="B12" t="s">
        <v>11</v>
      </c>
      <c r="C12">
        <v>15</v>
      </c>
      <c r="D12" t="s">
        <v>84</v>
      </c>
      <c r="E12">
        <v>1</v>
      </c>
      <c r="F12">
        <v>58.667000000000002</v>
      </c>
      <c r="G12" s="35">
        <v>3</v>
      </c>
      <c r="H12" s="35">
        <v>12</v>
      </c>
      <c r="I12">
        <f>SUM(G12:H12)</f>
        <v>15</v>
      </c>
      <c r="J12">
        <v>0.27780834224825401</v>
      </c>
      <c r="K12">
        <f>(J12*I12)*0.6</f>
        <v>2.5002750802342861</v>
      </c>
      <c r="L12">
        <v>0</v>
      </c>
      <c r="M12">
        <v>0</v>
      </c>
      <c r="N12">
        <f>K12-(L12+M12)</f>
        <v>2.5002750802342861</v>
      </c>
      <c r="O12" s="35">
        <f>I12+K12+F12</f>
        <v>76.16727508023429</v>
      </c>
      <c r="P12">
        <v>75.06</v>
      </c>
      <c r="Q12">
        <f>O12-P12</f>
        <v>1.1072750802342881</v>
      </c>
      <c r="T12">
        <f>S12-R12</f>
        <v>0</v>
      </c>
      <c r="X12">
        <v>3</v>
      </c>
      <c r="Y12"/>
      <c r="Z12">
        <f>(Y12-O12)+0.25</f>
        <v>-75.91727508023429</v>
      </c>
      <c r="AT12" t="s">
        <v>83</v>
      </c>
      <c r="AU12" t="s">
        <v>79</v>
      </c>
      <c r="AV12">
        <v>90</v>
      </c>
    </row>
    <row r="13" spans="1:48" ht="15.75">
      <c r="A13">
        <v>12</v>
      </c>
      <c r="B13" t="s">
        <v>11</v>
      </c>
      <c r="C13">
        <v>15</v>
      </c>
      <c r="D13" t="s">
        <v>85</v>
      </c>
      <c r="E13">
        <v>2</v>
      </c>
      <c r="F13">
        <v>58.731999999999999</v>
      </c>
      <c r="G13" s="35">
        <v>3</v>
      </c>
      <c r="H13" s="38">
        <v>12</v>
      </c>
      <c r="I13">
        <f>SUM(G13:H13)</f>
        <v>15</v>
      </c>
      <c r="J13">
        <v>0.27780834224825401</v>
      </c>
      <c r="K13">
        <f>(J13*I13)*0.6</f>
        <v>2.5002750802342861</v>
      </c>
      <c r="L13">
        <v>0</v>
      </c>
      <c r="M13">
        <v>0</v>
      </c>
      <c r="N13">
        <f>K13-(L13+M13)</f>
        <v>2.5002750802342861</v>
      </c>
      <c r="O13" s="35">
        <f>I13+K13+F13</f>
        <v>76.232275080234288</v>
      </c>
      <c r="P13">
        <v>76.260000000000005</v>
      </c>
      <c r="Q13">
        <f>O13-P13</f>
        <v>-2.7724919765717004E-2</v>
      </c>
      <c r="T13">
        <f>S13-R13</f>
        <v>0</v>
      </c>
      <c r="X13">
        <v>3</v>
      </c>
      <c r="Y13"/>
      <c r="Z13">
        <f>(Y13-O13)+0.25</f>
        <v>-75.982275080234288</v>
      </c>
      <c r="AT13" t="s">
        <v>83</v>
      </c>
      <c r="AU13" t="s">
        <v>79</v>
      </c>
      <c r="AV13">
        <v>91</v>
      </c>
    </row>
    <row r="14" spans="1:48" ht="15.75">
      <c r="A14">
        <v>13</v>
      </c>
      <c r="B14" t="s">
        <v>11</v>
      </c>
      <c r="C14">
        <v>15</v>
      </c>
      <c r="D14" t="s">
        <v>85</v>
      </c>
      <c r="E14">
        <v>3</v>
      </c>
      <c r="F14">
        <v>58.171999999999997</v>
      </c>
      <c r="G14" s="35">
        <v>3</v>
      </c>
      <c r="H14" s="35">
        <v>12</v>
      </c>
      <c r="I14">
        <f>SUM(G14:H14)</f>
        <v>15</v>
      </c>
      <c r="J14">
        <v>0.27780834224825401</v>
      </c>
      <c r="K14">
        <f>(J14*I14)*0.6</f>
        <v>2.5002750802342861</v>
      </c>
      <c r="L14">
        <v>0</v>
      </c>
      <c r="M14">
        <v>0</v>
      </c>
      <c r="N14">
        <f>K14-(L14+M14)</f>
        <v>2.5002750802342861</v>
      </c>
      <c r="O14" s="35">
        <f>I14+K14+F14</f>
        <v>75.672275080234286</v>
      </c>
      <c r="P14">
        <v>75.69</v>
      </c>
      <c r="Q14">
        <f>O14-P14</f>
        <v>-1.7724919765711888E-2</v>
      </c>
      <c r="T14">
        <f>S14-R14</f>
        <v>0</v>
      </c>
      <c r="X14">
        <v>3</v>
      </c>
      <c r="Y14"/>
      <c r="Z14">
        <f>(Y14-O14)+0.25</f>
        <v>-75.422275080234286</v>
      </c>
      <c r="AT14" t="s">
        <v>83</v>
      </c>
      <c r="AU14" t="s">
        <v>81</v>
      </c>
      <c r="AV14">
        <v>92</v>
      </c>
    </row>
    <row r="15" spans="1:48" s="40" customFormat="1" ht="15.75">
      <c r="A15" s="40">
        <v>14</v>
      </c>
      <c r="B15" s="40" t="s">
        <v>11</v>
      </c>
      <c r="C15" s="40">
        <v>15</v>
      </c>
      <c r="D15" s="40" t="s">
        <v>85</v>
      </c>
      <c r="E15" s="40">
        <v>1</v>
      </c>
      <c r="F15" s="40">
        <v>57.993000000000002</v>
      </c>
      <c r="G15" s="35">
        <v>3</v>
      </c>
      <c r="H15" s="38">
        <v>12</v>
      </c>
      <c r="I15">
        <f>SUM(G15:H15)</f>
        <v>15</v>
      </c>
      <c r="J15" s="40">
        <v>0.27780834224825401</v>
      </c>
      <c r="K15" s="40">
        <f>(J15*I15)*0.6</f>
        <v>2.5002750802342861</v>
      </c>
      <c r="L15" s="40">
        <v>0</v>
      </c>
      <c r="M15" s="40">
        <v>0</v>
      </c>
      <c r="N15" s="40">
        <f>K15-(L15+M15)</f>
        <v>2.5002750802342861</v>
      </c>
      <c r="O15" s="35">
        <f>I15+K15+F15</f>
        <v>75.493275080234284</v>
      </c>
      <c r="P15" s="40">
        <v>75.52</v>
      </c>
      <c r="Q15" s="40">
        <f>O15-P15</f>
        <v>-2.6724919765712229E-2</v>
      </c>
      <c r="T15" s="40">
        <f>S15-R15</f>
        <v>0</v>
      </c>
      <c r="X15" s="40">
        <v>3</v>
      </c>
      <c r="Y15" s="35"/>
      <c r="Z15" s="40">
        <f>(Y15-O15)+0.25</f>
        <v>-75.243275080234284</v>
      </c>
      <c r="AT15" s="40" t="s">
        <v>83</v>
      </c>
      <c r="AU15" s="40" t="s">
        <v>81</v>
      </c>
      <c r="AV15" s="40">
        <v>96</v>
      </c>
    </row>
    <row r="16" spans="1:48" ht="15.75">
      <c r="A16">
        <v>15</v>
      </c>
      <c r="B16" t="s">
        <v>12</v>
      </c>
      <c r="C16">
        <v>15</v>
      </c>
      <c r="D16" t="s">
        <v>73</v>
      </c>
      <c r="E16">
        <v>1</v>
      </c>
      <c r="F16">
        <v>59.313000000000002</v>
      </c>
      <c r="G16" s="35">
        <v>3</v>
      </c>
      <c r="H16" s="35">
        <v>12</v>
      </c>
      <c r="I16">
        <f>SUM(G16:H16)</f>
        <v>15</v>
      </c>
      <c r="J16">
        <v>0.32184350856185201</v>
      </c>
      <c r="K16">
        <f>(J16*I16)*0.6</f>
        <v>2.8965915770566681</v>
      </c>
      <c r="L16">
        <v>2</v>
      </c>
      <c r="M16">
        <v>0.5</v>
      </c>
      <c r="N16">
        <f>K16-(L16+M16)</f>
        <v>0.39659157705666814</v>
      </c>
      <c r="O16" s="35">
        <f>I16+K16+F16</f>
        <v>77.209591577056671</v>
      </c>
      <c r="P16">
        <v>77.19</v>
      </c>
      <c r="Q16">
        <f>O16-P16</f>
        <v>1.9591577056672804E-2</v>
      </c>
      <c r="T16">
        <f>S16-R16</f>
        <v>0</v>
      </c>
      <c r="U16" t="s">
        <v>74</v>
      </c>
      <c r="X16">
        <v>3</v>
      </c>
      <c r="Y16"/>
      <c r="Z16">
        <f>(Y16-O16)+0.25</f>
        <v>-76.959591577056671</v>
      </c>
      <c r="AT16" t="s">
        <v>83</v>
      </c>
      <c r="AU16" t="s">
        <v>81</v>
      </c>
      <c r="AV16">
        <v>97</v>
      </c>
    </row>
    <row r="17" spans="1:48" ht="15.75">
      <c r="A17">
        <v>16</v>
      </c>
      <c r="B17" t="s">
        <v>12</v>
      </c>
      <c r="C17">
        <v>15</v>
      </c>
      <c r="D17" t="s">
        <v>73</v>
      </c>
      <c r="E17">
        <v>2</v>
      </c>
      <c r="F17">
        <v>59.31</v>
      </c>
      <c r="G17" s="35">
        <v>3</v>
      </c>
      <c r="H17" s="38">
        <v>12</v>
      </c>
      <c r="I17">
        <f>SUM(G17:H17)</f>
        <v>15</v>
      </c>
      <c r="J17">
        <v>0.32184350856185201</v>
      </c>
      <c r="K17">
        <f>(J17*I17)*0.6</f>
        <v>2.8965915770566681</v>
      </c>
      <c r="L17">
        <v>2</v>
      </c>
      <c r="M17">
        <v>0.5</v>
      </c>
      <c r="N17">
        <f>K17-(L17+M17)</f>
        <v>0.39659157705666814</v>
      </c>
      <c r="O17" s="35">
        <f>I17+K17+F17</f>
        <v>77.20659157705667</v>
      </c>
      <c r="P17">
        <v>77.17</v>
      </c>
      <c r="Q17">
        <f>O17-P17</f>
        <v>3.6591577056668712E-2</v>
      </c>
      <c r="T17">
        <f>S17-R17</f>
        <v>0</v>
      </c>
      <c r="U17" t="s">
        <v>74</v>
      </c>
      <c r="X17">
        <v>3</v>
      </c>
      <c r="Y17"/>
      <c r="Z17">
        <f>(Y17-O17)+0.25</f>
        <v>-76.95659157705667</v>
      </c>
      <c r="AT17" t="s">
        <v>86</v>
      </c>
      <c r="AU17" t="s">
        <v>87</v>
      </c>
      <c r="AV17" t="s">
        <v>88</v>
      </c>
    </row>
    <row r="18" spans="1:48" ht="15.75">
      <c r="A18">
        <v>17</v>
      </c>
      <c r="B18" t="s">
        <v>12</v>
      </c>
      <c r="C18">
        <v>15</v>
      </c>
      <c r="D18" t="s">
        <v>73</v>
      </c>
      <c r="E18">
        <v>3</v>
      </c>
      <c r="F18">
        <v>59.258000000000003</v>
      </c>
      <c r="G18" s="35">
        <v>3</v>
      </c>
      <c r="H18" s="35">
        <v>12</v>
      </c>
      <c r="I18">
        <f>SUM(G18:H18)</f>
        <v>15</v>
      </c>
      <c r="J18">
        <v>0.32184350856185201</v>
      </c>
      <c r="K18">
        <f>(J18*I18)*0.6</f>
        <v>2.8965915770566681</v>
      </c>
      <c r="L18">
        <v>2</v>
      </c>
      <c r="M18">
        <v>0.5</v>
      </c>
      <c r="N18">
        <f>K18-(L18+M18)</f>
        <v>0.39659157705666814</v>
      </c>
      <c r="O18" s="35">
        <f>I18+K18+F18</f>
        <v>77.154591577056664</v>
      </c>
      <c r="P18">
        <v>77.12</v>
      </c>
      <c r="Q18">
        <f>O18-P18</f>
        <v>3.4591577056659162E-2</v>
      </c>
      <c r="T18">
        <f>S18-R18</f>
        <v>0</v>
      </c>
      <c r="U18" t="s">
        <v>74</v>
      </c>
      <c r="X18">
        <v>3</v>
      </c>
      <c r="Y18"/>
      <c r="Z18">
        <f>(Y18-O18)+0.25</f>
        <v>-76.904591577056664</v>
      </c>
      <c r="AT18" t="s">
        <v>86</v>
      </c>
      <c r="AU18" t="s">
        <v>87</v>
      </c>
      <c r="AV18" t="s">
        <v>89</v>
      </c>
    </row>
    <row r="19" spans="1:48" ht="15.75">
      <c r="A19">
        <v>18</v>
      </c>
      <c r="B19" t="s">
        <v>12</v>
      </c>
      <c r="C19">
        <v>15</v>
      </c>
      <c r="D19" t="s">
        <v>73</v>
      </c>
      <c r="E19">
        <v>4</v>
      </c>
      <c r="F19">
        <v>58.043999999999997</v>
      </c>
      <c r="G19" s="35">
        <v>3</v>
      </c>
      <c r="H19" s="38">
        <v>12</v>
      </c>
      <c r="I19">
        <f>SUM(G19:H19)</f>
        <v>15</v>
      </c>
      <c r="J19">
        <v>0.32184350856185201</v>
      </c>
      <c r="K19">
        <f>(J19*I19)*0.6</f>
        <v>2.8965915770566681</v>
      </c>
      <c r="L19">
        <v>2</v>
      </c>
      <c r="M19">
        <v>0.5</v>
      </c>
      <c r="N19">
        <f>K19-(L19+M19)</f>
        <v>0.39659157705666814</v>
      </c>
      <c r="O19" s="35">
        <f>I19+K19+F19</f>
        <v>75.940591577056665</v>
      </c>
      <c r="P19">
        <v>75.98</v>
      </c>
      <c r="Q19">
        <f>O19-P19</f>
        <v>-3.9408422943338905E-2</v>
      </c>
      <c r="T19">
        <f>S19-R19</f>
        <v>0</v>
      </c>
      <c r="U19" t="s">
        <v>74</v>
      </c>
      <c r="X19">
        <v>3</v>
      </c>
      <c r="Y19"/>
      <c r="Z19">
        <f>(Y19-O19)+0.25</f>
        <v>-75.690591577056665</v>
      </c>
      <c r="AT19" t="s">
        <v>86</v>
      </c>
      <c r="AU19" t="s">
        <v>87</v>
      </c>
      <c r="AV19" t="s">
        <v>90</v>
      </c>
    </row>
    <row r="20" spans="1:48" ht="15.75">
      <c r="A20">
        <v>19</v>
      </c>
      <c r="B20" t="s">
        <v>12</v>
      </c>
      <c r="C20">
        <v>15</v>
      </c>
      <c r="D20" t="s">
        <v>73</v>
      </c>
      <c r="E20">
        <v>5</v>
      </c>
      <c r="F20">
        <v>59.353000000000002</v>
      </c>
      <c r="G20" s="35">
        <v>3</v>
      </c>
      <c r="H20" s="35">
        <v>12</v>
      </c>
      <c r="I20">
        <f>SUM(G20:H20)</f>
        <v>15</v>
      </c>
      <c r="J20">
        <v>0.32184350856185201</v>
      </c>
      <c r="K20">
        <f>(J20*I20)*0.6</f>
        <v>2.8965915770566681</v>
      </c>
      <c r="L20">
        <v>2</v>
      </c>
      <c r="M20">
        <v>0.5</v>
      </c>
      <c r="N20">
        <f>K20-(L20+M20)</f>
        <v>0.39659157705666814</v>
      </c>
      <c r="O20" s="35">
        <f>I20+K20+F20</f>
        <v>77.249591577056663</v>
      </c>
      <c r="P20">
        <v>77.28</v>
      </c>
      <c r="Q20">
        <f>O20-P20</f>
        <v>-3.0408422943338564E-2</v>
      </c>
      <c r="T20">
        <f>S20-R20</f>
        <v>0</v>
      </c>
      <c r="U20" t="s">
        <v>74</v>
      </c>
      <c r="X20">
        <v>3</v>
      </c>
      <c r="Y20"/>
      <c r="Z20">
        <f>(Y20-O20)+0.25</f>
        <v>-76.999591577056663</v>
      </c>
    </row>
    <row r="21" spans="1:48" ht="15.75">
      <c r="A21">
        <v>20</v>
      </c>
      <c r="B21" t="s">
        <v>12</v>
      </c>
      <c r="C21">
        <v>15</v>
      </c>
      <c r="D21" t="s">
        <v>80</v>
      </c>
      <c r="E21">
        <v>1</v>
      </c>
      <c r="F21">
        <v>57.832000000000001</v>
      </c>
      <c r="G21" s="35">
        <v>3</v>
      </c>
      <c r="H21" s="38">
        <v>12</v>
      </c>
      <c r="I21">
        <f>SUM(G21:H21)</f>
        <v>15</v>
      </c>
      <c r="J21">
        <v>0.32184350856185201</v>
      </c>
      <c r="K21">
        <f>(J21*I21)*0.6</f>
        <v>2.8965915770566681</v>
      </c>
      <c r="L21">
        <v>2</v>
      </c>
      <c r="M21">
        <v>0</v>
      </c>
      <c r="N21">
        <f>K21-(L21+M21)</f>
        <v>0.89659157705666814</v>
      </c>
      <c r="O21" s="35">
        <f>I21+K21+F21</f>
        <v>75.728591577056676</v>
      </c>
      <c r="P21">
        <v>75.73</v>
      </c>
      <c r="Q21">
        <f>O21-P21</f>
        <v>-1.4084229433279916E-3</v>
      </c>
      <c r="T21">
        <f>S21-R21</f>
        <v>0</v>
      </c>
      <c r="X21">
        <v>3</v>
      </c>
      <c r="Y21"/>
      <c r="Z21">
        <f>(Y21-O21)+0.25</f>
        <v>-75.478591577056676</v>
      </c>
    </row>
    <row r="22" spans="1:48" ht="15.75">
      <c r="A22">
        <v>21</v>
      </c>
      <c r="B22" t="s">
        <v>12</v>
      </c>
      <c r="C22">
        <v>15</v>
      </c>
      <c r="D22" t="s">
        <v>80</v>
      </c>
      <c r="E22">
        <v>2</v>
      </c>
      <c r="F22">
        <v>57.780999999999999</v>
      </c>
      <c r="G22" s="35">
        <v>3</v>
      </c>
      <c r="H22" s="35">
        <v>12</v>
      </c>
      <c r="I22">
        <f>SUM(G22:H22)</f>
        <v>15</v>
      </c>
      <c r="J22">
        <v>0.32184350856185201</v>
      </c>
      <c r="K22">
        <f>(J22*I22)*0.6</f>
        <v>2.8965915770566681</v>
      </c>
      <c r="L22">
        <v>2</v>
      </c>
      <c r="M22">
        <v>0</v>
      </c>
      <c r="N22">
        <f>K22-(L22+M22)</f>
        <v>0.89659157705666814</v>
      </c>
      <c r="O22" s="35">
        <f>I22+K22+F22</f>
        <v>75.67759157705666</v>
      </c>
      <c r="P22">
        <v>75.680000000000007</v>
      </c>
      <c r="Q22">
        <f>O22-P22</f>
        <v>-2.4084229433469773E-3</v>
      </c>
      <c r="T22">
        <f>S22-R22</f>
        <v>0</v>
      </c>
      <c r="X22">
        <v>3</v>
      </c>
      <c r="Y22"/>
      <c r="Z22">
        <f>(Y22-O22)+0.25</f>
        <v>-75.42759157705666</v>
      </c>
    </row>
    <row r="23" spans="1:48" ht="15.75">
      <c r="A23">
        <v>22</v>
      </c>
      <c r="B23" t="s">
        <v>12</v>
      </c>
      <c r="C23">
        <v>15</v>
      </c>
      <c r="D23" t="s">
        <v>80</v>
      </c>
      <c r="E23">
        <v>3</v>
      </c>
      <c r="F23">
        <v>59.121000000000002</v>
      </c>
      <c r="G23" s="35">
        <v>3</v>
      </c>
      <c r="H23" s="38">
        <v>12</v>
      </c>
      <c r="I23">
        <f>SUM(G23:H23)</f>
        <v>15</v>
      </c>
      <c r="J23">
        <v>0.32184350856185201</v>
      </c>
      <c r="K23">
        <f>(J23*I23)*0.6</f>
        <v>2.8965915770566681</v>
      </c>
      <c r="L23">
        <v>2</v>
      </c>
      <c r="M23">
        <v>0</v>
      </c>
      <c r="N23">
        <f>K23-(L23+M23)</f>
        <v>0.89659157705666814</v>
      </c>
      <c r="O23" s="35">
        <f>I23+K23+F23</f>
        <v>77.017591577056663</v>
      </c>
      <c r="P23">
        <v>77.05</v>
      </c>
      <c r="Q23">
        <f>O23-P23</f>
        <v>-3.2408422943333903E-2</v>
      </c>
      <c r="T23">
        <f>S23-R23</f>
        <v>0</v>
      </c>
      <c r="X23">
        <v>3</v>
      </c>
      <c r="Y23"/>
      <c r="Z23">
        <f>(Y23-O23)+0.25</f>
        <v>-76.767591577056663</v>
      </c>
    </row>
    <row r="24" spans="1:48" ht="15.75">
      <c r="A24">
        <v>23</v>
      </c>
      <c r="B24" t="s">
        <v>12</v>
      </c>
      <c r="C24">
        <v>15</v>
      </c>
      <c r="D24" t="s">
        <v>80</v>
      </c>
      <c r="E24">
        <v>4</v>
      </c>
      <c r="F24">
        <v>57.805</v>
      </c>
      <c r="G24" s="35">
        <v>3</v>
      </c>
      <c r="H24" s="35">
        <v>12</v>
      </c>
      <c r="I24">
        <f>SUM(G24:H24)</f>
        <v>15</v>
      </c>
      <c r="J24">
        <v>0.32184350856185201</v>
      </c>
      <c r="K24">
        <f>(J24*I24)*0.6</f>
        <v>2.8965915770566681</v>
      </c>
      <c r="L24">
        <v>2</v>
      </c>
      <c r="M24">
        <v>0</v>
      </c>
      <c r="N24">
        <f>K24-(L24+M24)</f>
        <v>0.89659157705666814</v>
      </c>
      <c r="O24" s="35">
        <f>I24+K24+F24</f>
        <v>75.701591577056661</v>
      </c>
      <c r="P24">
        <v>75.709999999999994</v>
      </c>
      <c r="Q24">
        <f>O24-P24</f>
        <v>-8.4084229433329938E-3</v>
      </c>
      <c r="T24">
        <f>S24-R24</f>
        <v>0</v>
      </c>
      <c r="X24">
        <v>3</v>
      </c>
      <c r="Y24"/>
      <c r="Z24">
        <f>(Y24-O24)+0.25</f>
        <v>-75.451591577056661</v>
      </c>
    </row>
    <row r="25" spans="1:48" ht="15.75">
      <c r="A25">
        <v>24</v>
      </c>
      <c r="B25" t="s">
        <v>12</v>
      </c>
      <c r="C25">
        <v>15</v>
      </c>
      <c r="D25" t="s">
        <v>80</v>
      </c>
      <c r="E25">
        <v>5</v>
      </c>
      <c r="F25">
        <v>57.323999999999998</v>
      </c>
      <c r="G25" s="35">
        <v>3</v>
      </c>
      <c r="H25" s="38">
        <v>12</v>
      </c>
      <c r="I25">
        <f>SUM(G25:H25)</f>
        <v>15</v>
      </c>
      <c r="J25">
        <v>0.32184350856185201</v>
      </c>
      <c r="K25">
        <f>(J25*I25)*0.6</f>
        <v>2.8965915770566681</v>
      </c>
      <c r="L25">
        <v>2</v>
      </c>
      <c r="M25">
        <v>0</v>
      </c>
      <c r="N25">
        <f>K25-(L25+M25)</f>
        <v>0.89659157705666814</v>
      </c>
      <c r="O25" s="35">
        <f>I25+K25+F25</f>
        <v>75.220591577056666</v>
      </c>
      <c r="P25">
        <v>75.23</v>
      </c>
      <c r="Q25">
        <f>O25-P25</f>
        <v>-9.4084229433377686E-3</v>
      </c>
      <c r="T25">
        <f>S25-R25</f>
        <v>0</v>
      </c>
      <c r="X25">
        <v>3</v>
      </c>
      <c r="Y25"/>
      <c r="Z25">
        <f>(Y25-O25)+0.25</f>
        <v>-74.970591577056666</v>
      </c>
    </row>
    <row r="26" spans="1:48" ht="15.75">
      <c r="A26">
        <v>25</v>
      </c>
      <c r="B26" t="s">
        <v>12</v>
      </c>
      <c r="C26">
        <v>15</v>
      </c>
      <c r="D26" t="s">
        <v>85</v>
      </c>
      <c r="E26">
        <v>1</v>
      </c>
      <c r="F26">
        <v>59.082000000000001</v>
      </c>
      <c r="G26" s="35">
        <v>3</v>
      </c>
      <c r="H26" s="35">
        <v>12</v>
      </c>
      <c r="I26">
        <f>SUM(G26:H26)</f>
        <v>15</v>
      </c>
      <c r="J26">
        <v>0.32184350856185201</v>
      </c>
      <c r="K26">
        <f>(J26*I26)*0.6</f>
        <v>2.8965915770566681</v>
      </c>
      <c r="L26">
        <v>0</v>
      </c>
      <c r="M26">
        <v>0</v>
      </c>
      <c r="N26">
        <f>K26-(L26+M26)</f>
        <v>2.8965915770566681</v>
      </c>
      <c r="O26" s="35">
        <f>I26+K26+F26</f>
        <v>76.978591577056676</v>
      </c>
      <c r="P26">
        <v>77.38</v>
      </c>
      <c r="Q26">
        <f>O26-P26</f>
        <v>-0.40140842294331947</v>
      </c>
      <c r="T26">
        <f>S26-R26</f>
        <v>0</v>
      </c>
      <c r="X26">
        <v>3</v>
      </c>
      <c r="Y26"/>
      <c r="Z26">
        <f>(Y26-O26)+0.25</f>
        <v>-76.728591577056676</v>
      </c>
    </row>
    <row r="27" spans="1:48" ht="15.75">
      <c r="A27">
        <v>26</v>
      </c>
      <c r="B27" t="s">
        <v>12</v>
      </c>
      <c r="C27">
        <v>15</v>
      </c>
      <c r="D27" t="s">
        <v>85</v>
      </c>
      <c r="E27">
        <v>2</v>
      </c>
      <c r="F27">
        <v>59.484999999999999</v>
      </c>
      <c r="G27" s="35">
        <v>3</v>
      </c>
      <c r="H27" s="38">
        <v>12</v>
      </c>
      <c r="I27">
        <f>SUM(G27:H27)</f>
        <v>15</v>
      </c>
      <c r="J27">
        <v>0.32184350856185201</v>
      </c>
      <c r="K27">
        <f>(J27*I27)*0.6</f>
        <v>2.8965915770566681</v>
      </c>
      <c r="L27">
        <v>0</v>
      </c>
      <c r="M27">
        <v>0</v>
      </c>
      <c r="N27">
        <f>K27-(L27+M27)</f>
        <v>2.8965915770566681</v>
      </c>
      <c r="O27" s="35">
        <f>I27+K27+F27</f>
        <v>77.381591577056668</v>
      </c>
      <c r="P27">
        <v>77.319999999999993</v>
      </c>
      <c r="Q27">
        <f>O27-P27</f>
        <v>6.1591577056674396E-2</v>
      </c>
      <c r="T27">
        <f>S27-R27</f>
        <v>0</v>
      </c>
      <c r="X27">
        <v>3</v>
      </c>
      <c r="Y27"/>
      <c r="Z27">
        <f>(Y27-O27)+0.25</f>
        <v>-77.131591577056668</v>
      </c>
    </row>
    <row r="28" spans="1:48" ht="15.75">
      <c r="A28">
        <v>27</v>
      </c>
      <c r="B28" t="s">
        <v>12</v>
      </c>
      <c r="C28">
        <v>15</v>
      </c>
      <c r="D28" t="s">
        <v>85</v>
      </c>
      <c r="E28">
        <v>3</v>
      </c>
      <c r="F28">
        <v>59.258000000000003</v>
      </c>
      <c r="G28" s="35">
        <v>3</v>
      </c>
      <c r="H28" s="35">
        <v>12</v>
      </c>
      <c r="I28">
        <f>SUM(G28:H28)</f>
        <v>15</v>
      </c>
      <c r="J28">
        <v>0.32184350856185201</v>
      </c>
      <c r="K28">
        <f>(J28*I28)*0.6</f>
        <v>2.8965915770566681</v>
      </c>
      <c r="L28">
        <v>0</v>
      </c>
      <c r="M28">
        <v>0</v>
      </c>
      <c r="N28">
        <f>K28-(L28+M28)</f>
        <v>2.8965915770566681</v>
      </c>
      <c r="O28" s="35">
        <f>I28+K28+F28</f>
        <v>77.154591577056664</v>
      </c>
      <c r="P28">
        <v>77.790000000000006</v>
      </c>
      <c r="Q28">
        <f>O28-P28</f>
        <v>-0.63540842294334254</v>
      </c>
      <c r="T28">
        <f>S28-R28</f>
        <v>0</v>
      </c>
      <c r="X28">
        <v>3</v>
      </c>
      <c r="Y28"/>
      <c r="Z28">
        <f>(Y28-O28)+0.25</f>
        <v>-76.904591577056664</v>
      </c>
    </row>
    <row r="29" spans="1:48" s="40" customFormat="1" ht="15.75">
      <c r="A29" s="40">
        <v>28</v>
      </c>
      <c r="B29" s="40" t="s">
        <v>12</v>
      </c>
      <c r="C29" s="40">
        <v>15</v>
      </c>
      <c r="D29" s="40" t="s">
        <v>84</v>
      </c>
      <c r="E29" s="40">
        <v>1</v>
      </c>
      <c r="F29" s="40">
        <v>59.252000000000002</v>
      </c>
      <c r="G29" s="35">
        <v>3</v>
      </c>
      <c r="H29" s="38">
        <v>12</v>
      </c>
      <c r="I29">
        <f>SUM(G29:H29)</f>
        <v>15</v>
      </c>
      <c r="J29" s="40">
        <v>0.32184350856185201</v>
      </c>
      <c r="K29" s="40">
        <f>(J29*I29)*0.6</f>
        <v>2.8965915770566681</v>
      </c>
      <c r="L29" s="40">
        <v>0</v>
      </c>
      <c r="M29" s="40">
        <v>0</v>
      </c>
      <c r="N29" s="40">
        <f>K29-(L29+M29)</f>
        <v>2.8965915770566681</v>
      </c>
      <c r="O29" s="35">
        <f>I29+K29+F29</f>
        <v>77.148591577056663</v>
      </c>
      <c r="P29" s="40">
        <v>77.14</v>
      </c>
      <c r="Q29" s="40">
        <f>O29-P29</f>
        <v>8.5915770566629135E-3</v>
      </c>
      <c r="T29" s="40">
        <f>S29-R29</f>
        <v>0</v>
      </c>
      <c r="X29" s="40">
        <v>3</v>
      </c>
      <c r="Y29" s="35"/>
      <c r="Z29" s="40">
        <f>(Y29-O29)+0.25</f>
        <v>-76.898591577056663</v>
      </c>
    </row>
    <row r="30" spans="1:48" ht="15.75">
      <c r="A30">
        <v>29</v>
      </c>
      <c r="B30" t="s">
        <v>91</v>
      </c>
      <c r="C30">
        <v>15</v>
      </c>
      <c r="D30" t="s">
        <v>73</v>
      </c>
      <c r="E30">
        <v>1</v>
      </c>
      <c r="F30">
        <v>58.177</v>
      </c>
      <c r="G30" s="35">
        <v>3</v>
      </c>
      <c r="H30" s="35">
        <v>12</v>
      </c>
      <c r="I30">
        <f>SUM(G30:H30)</f>
        <v>15</v>
      </c>
      <c r="J30">
        <v>0.34250754843279801</v>
      </c>
      <c r="K30">
        <f>(J30*I30)*0.6</f>
        <v>3.0825679358951819</v>
      </c>
      <c r="L30">
        <v>2</v>
      </c>
      <c r="M30">
        <v>0.5</v>
      </c>
      <c r="N30">
        <f>K30-(L30+M30)</f>
        <v>0.58256793589518185</v>
      </c>
      <c r="O30" s="35">
        <f>I30+K30+F30</f>
        <v>76.259567935895177</v>
      </c>
      <c r="P30">
        <v>75.33</v>
      </c>
      <c r="Q30">
        <f>O30-P30</f>
        <v>0.92956793589517872</v>
      </c>
      <c r="T30">
        <f>S30-R30</f>
        <v>0</v>
      </c>
      <c r="U30" t="s">
        <v>74</v>
      </c>
      <c r="X30">
        <v>3</v>
      </c>
      <c r="Y30"/>
      <c r="Z30">
        <f>(Y30-O30)+0.25</f>
        <v>-76.009567935895177</v>
      </c>
    </row>
    <row r="31" spans="1:48" ht="15.75">
      <c r="A31">
        <v>30</v>
      </c>
      <c r="B31" t="s">
        <v>91</v>
      </c>
      <c r="C31">
        <v>15</v>
      </c>
      <c r="D31" t="s">
        <v>73</v>
      </c>
      <c r="E31">
        <v>2</v>
      </c>
      <c r="F31">
        <v>58.045000000000002</v>
      </c>
      <c r="G31" s="35">
        <v>3</v>
      </c>
      <c r="H31" s="38">
        <v>12</v>
      </c>
      <c r="I31">
        <f>SUM(G31:H31)</f>
        <v>15</v>
      </c>
      <c r="J31">
        <v>0.34250754843279801</v>
      </c>
      <c r="K31">
        <f>(J31*I31)*0.6</f>
        <v>3.0825679358951819</v>
      </c>
      <c r="L31">
        <v>2</v>
      </c>
      <c r="M31">
        <v>0.5</v>
      </c>
      <c r="N31">
        <f>K31-(L31+M31)</f>
        <v>0.58256793589518185</v>
      </c>
      <c r="O31" s="35">
        <f>I31+K31+F31</f>
        <v>76.127567935895186</v>
      </c>
      <c r="P31">
        <v>76.17</v>
      </c>
      <c r="Q31">
        <f>O31-P31</f>
        <v>-4.2432064104815481E-2</v>
      </c>
      <c r="T31">
        <f>S31-R31</f>
        <v>0</v>
      </c>
      <c r="U31" t="s">
        <v>74</v>
      </c>
      <c r="X31">
        <v>3</v>
      </c>
      <c r="Y31"/>
      <c r="Z31">
        <f>(Y31-O31)+0.25</f>
        <v>-75.877567935895186</v>
      </c>
    </row>
    <row r="32" spans="1:48" ht="15.75">
      <c r="A32">
        <v>31</v>
      </c>
      <c r="B32" t="s">
        <v>91</v>
      </c>
      <c r="C32">
        <v>15</v>
      </c>
      <c r="D32" t="s">
        <v>73</v>
      </c>
      <c r="E32">
        <v>3</v>
      </c>
      <c r="F32">
        <v>58.694000000000003</v>
      </c>
      <c r="G32" s="35">
        <v>3</v>
      </c>
      <c r="H32" s="35">
        <v>12</v>
      </c>
      <c r="I32">
        <f>SUM(G32:H32)</f>
        <v>15</v>
      </c>
      <c r="J32">
        <v>0.34250754843279801</v>
      </c>
      <c r="K32">
        <f>(J32*I32)*0.6</f>
        <v>3.0825679358951819</v>
      </c>
      <c r="L32">
        <v>2</v>
      </c>
      <c r="M32">
        <v>0.5</v>
      </c>
      <c r="N32">
        <f>K32-(L32+M32)</f>
        <v>0.58256793589518185</v>
      </c>
      <c r="O32" s="35">
        <f>I32+K32+F32</f>
        <v>76.776567935895187</v>
      </c>
      <c r="P32">
        <v>76.819999999999993</v>
      </c>
      <c r="Q32">
        <f>O32-P32</f>
        <v>-4.3432064104806045E-2</v>
      </c>
      <c r="T32">
        <f>S32-R32</f>
        <v>0</v>
      </c>
      <c r="U32" t="s">
        <v>74</v>
      </c>
      <c r="X32">
        <v>3</v>
      </c>
      <c r="Y32"/>
      <c r="Z32">
        <f>(Y32-O32)+0.25</f>
        <v>-76.526567935895187</v>
      </c>
    </row>
    <row r="33" spans="1:26" ht="15.75">
      <c r="A33">
        <v>32</v>
      </c>
      <c r="B33" t="s">
        <v>91</v>
      </c>
      <c r="C33">
        <v>15</v>
      </c>
      <c r="D33" t="s">
        <v>73</v>
      </c>
      <c r="E33">
        <v>4</v>
      </c>
      <c r="F33">
        <v>57.305999999999997</v>
      </c>
      <c r="G33" s="35">
        <v>3</v>
      </c>
      <c r="H33" s="38">
        <v>12</v>
      </c>
      <c r="I33">
        <f>SUM(G33:H33)</f>
        <v>15</v>
      </c>
      <c r="J33">
        <v>0.34250754843279801</v>
      </c>
      <c r="K33">
        <f>(J33*I33)*0.6</f>
        <v>3.0825679358951819</v>
      </c>
      <c r="L33">
        <v>2</v>
      </c>
      <c r="M33">
        <v>0.5</v>
      </c>
      <c r="N33">
        <f>K33-(L33+M33)</f>
        <v>0.58256793589518185</v>
      </c>
      <c r="O33" s="35">
        <f>I33+K33+F33</f>
        <v>75.388567935895182</v>
      </c>
      <c r="P33">
        <v>75.400000000000006</v>
      </c>
      <c r="Q33">
        <f>O33-P33</f>
        <v>-1.143206410482378E-2</v>
      </c>
      <c r="T33">
        <f>S33-R33</f>
        <v>0</v>
      </c>
      <c r="U33" t="s">
        <v>74</v>
      </c>
      <c r="X33">
        <v>3</v>
      </c>
      <c r="Y33"/>
      <c r="Z33">
        <f>(Y33-O33)+0.25</f>
        <v>-75.138567935895182</v>
      </c>
    </row>
    <row r="34" spans="1:26" ht="15.75">
      <c r="A34">
        <v>33</v>
      </c>
      <c r="B34" t="s">
        <v>91</v>
      </c>
      <c r="C34">
        <v>15</v>
      </c>
      <c r="D34" t="s">
        <v>73</v>
      </c>
      <c r="E34">
        <v>5</v>
      </c>
      <c r="F34">
        <v>58.786999999999999</v>
      </c>
      <c r="G34" s="35">
        <v>3</v>
      </c>
      <c r="H34" s="35">
        <v>12</v>
      </c>
      <c r="I34">
        <f>SUM(G34:H34)</f>
        <v>15</v>
      </c>
      <c r="J34">
        <v>0.34250754843279801</v>
      </c>
      <c r="K34">
        <f>(J34*I34)*0.6</f>
        <v>3.0825679358951819</v>
      </c>
      <c r="L34">
        <v>2</v>
      </c>
      <c r="M34">
        <v>0.5</v>
      </c>
      <c r="N34">
        <f>K34-(L34+M34)</f>
        <v>0.58256793589518185</v>
      </c>
      <c r="O34" s="35">
        <f>I34+K34+F34</f>
        <v>76.869567935895176</v>
      </c>
      <c r="P34">
        <v>76.88</v>
      </c>
      <c r="Q34">
        <f>O34-P34</f>
        <v>-1.0432064104819005E-2</v>
      </c>
      <c r="T34">
        <f>S34-R34</f>
        <v>0</v>
      </c>
      <c r="U34" t="s">
        <v>74</v>
      </c>
      <c r="X34">
        <v>3</v>
      </c>
      <c r="Y34"/>
      <c r="Z34">
        <f>(Y34-O34)+0.25</f>
        <v>-76.619567935895176</v>
      </c>
    </row>
    <row r="35" spans="1:26" ht="15.75">
      <c r="A35">
        <v>34</v>
      </c>
      <c r="B35" t="s">
        <v>91</v>
      </c>
      <c r="C35">
        <v>15</v>
      </c>
      <c r="D35" t="s">
        <v>80</v>
      </c>
      <c r="E35">
        <v>1</v>
      </c>
      <c r="F35">
        <v>58.746000000000002</v>
      </c>
      <c r="G35" s="35">
        <v>3</v>
      </c>
      <c r="H35" s="38">
        <v>12</v>
      </c>
      <c r="I35">
        <f>SUM(G35:H35)</f>
        <v>15</v>
      </c>
      <c r="J35">
        <v>0.34250754843279801</v>
      </c>
      <c r="K35">
        <f>(J35*I35)*0.6</f>
        <v>3.0825679358951819</v>
      </c>
      <c r="L35">
        <v>2</v>
      </c>
      <c r="M35">
        <v>0</v>
      </c>
      <c r="N35">
        <f>K35-(L35+M35)</f>
        <v>1.0825679358951819</v>
      </c>
      <c r="O35" s="35">
        <f>I35+K35+F35</f>
        <v>76.82856793589518</v>
      </c>
      <c r="P35">
        <v>76.84</v>
      </c>
      <c r="Q35">
        <f>O35-P35</f>
        <v>-1.143206410482378E-2</v>
      </c>
      <c r="T35">
        <f>S35-R35</f>
        <v>0</v>
      </c>
      <c r="X35">
        <v>3</v>
      </c>
      <c r="Y35"/>
      <c r="Z35">
        <f>(Y35-O35)+0.25</f>
        <v>-76.57856793589518</v>
      </c>
    </row>
    <row r="36" spans="1:26" ht="15.75">
      <c r="A36">
        <v>35</v>
      </c>
      <c r="B36" t="s">
        <v>91</v>
      </c>
      <c r="C36">
        <v>15</v>
      </c>
      <c r="D36" t="s">
        <v>80</v>
      </c>
      <c r="E36">
        <v>2</v>
      </c>
      <c r="F36">
        <v>59.216000000000001</v>
      </c>
      <c r="G36" s="35">
        <v>3</v>
      </c>
      <c r="H36" s="35">
        <v>12</v>
      </c>
      <c r="I36">
        <f>SUM(G36:H36)</f>
        <v>15</v>
      </c>
      <c r="J36">
        <v>0.34250754843279801</v>
      </c>
      <c r="K36">
        <f>(J36*I36)*0.6</f>
        <v>3.0825679358951819</v>
      </c>
      <c r="L36">
        <v>2</v>
      </c>
      <c r="M36">
        <v>0</v>
      </c>
      <c r="N36">
        <f>K36-(L36+M36)</f>
        <v>1.0825679358951819</v>
      </c>
      <c r="O36" s="35">
        <f>I36+K36+F36</f>
        <v>77.298567935895178</v>
      </c>
      <c r="P36">
        <v>77.28</v>
      </c>
      <c r="Q36">
        <f>O36-P36</f>
        <v>1.8567935895177357E-2</v>
      </c>
      <c r="T36">
        <f>S36-R36</f>
        <v>0</v>
      </c>
      <c r="X36">
        <v>3</v>
      </c>
      <c r="Y36"/>
      <c r="Z36">
        <f>(Y36-O36)+0.25</f>
        <v>-77.048567935895178</v>
      </c>
    </row>
    <row r="37" spans="1:26" ht="15.75">
      <c r="A37">
        <v>36</v>
      </c>
      <c r="B37" t="s">
        <v>91</v>
      </c>
      <c r="C37">
        <v>15</v>
      </c>
      <c r="D37" t="s">
        <v>80</v>
      </c>
      <c r="E37">
        <v>3</v>
      </c>
      <c r="F37">
        <v>57.85</v>
      </c>
      <c r="G37" s="35">
        <v>3</v>
      </c>
      <c r="H37" s="38">
        <v>12</v>
      </c>
      <c r="I37">
        <f>SUM(G37:H37)</f>
        <v>15</v>
      </c>
      <c r="J37">
        <v>0.34250754843279801</v>
      </c>
      <c r="K37">
        <f>(J37*I37)*0.6</f>
        <v>3.0825679358951819</v>
      </c>
      <c r="L37">
        <v>2</v>
      </c>
      <c r="M37">
        <v>0</v>
      </c>
      <c r="N37">
        <f>K37-(L37+M37)</f>
        <v>1.0825679358951819</v>
      </c>
      <c r="O37" s="35">
        <f>I37+K37+F37</f>
        <v>75.932567935895179</v>
      </c>
      <c r="P37">
        <v>75.930000000000007</v>
      </c>
      <c r="Q37">
        <f>O37-P37</f>
        <v>2.5679358951720133E-3</v>
      </c>
      <c r="T37">
        <f>S37-R37</f>
        <v>0</v>
      </c>
      <c r="X37">
        <v>3</v>
      </c>
      <c r="Y37"/>
      <c r="Z37">
        <f>(Y37-O37)+0.25</f>
        <v>-75.682567935895179</v>
      </c>
    </row>
    <row r="38" spans="1:26" ht="15.75">
      <c r="A38">
        <v>37</v>
      </c>
      <c r="B38" t="s">
        <v>91</v>
      </c>
      <c r="C38">
        <v>15</v>
      </c>
      <c r="D38" t="s">
        <v>80</v>
      </c>
      <c r="E38">
        <v>4</v>
      </c>
      <c r="F38">
        <v>59.210999999999999</v>
      </c>
      <c r="G38" s="35">
        <v>3</v>
      </c>
      <c r="H38" s="35">
        <v>12</v>
      </c>
      <c r="I38">
        <f>SUM(G38:H38)</f>
        <v>15</v>
      </c>
      <c r="J38">
        <v>0.34250754843279801</v>
      </c>
      <c r="K38">
        <f>(J38*I38)*0.6</f>
        <v>3.0825679358951819</v>
      </c>
      <c r="L38">
        <v>2</v>
      </c>
      <c r="M38">
        <v>0</v>
      </c>
      <c r="N38">
        <f>K38-(L38+M38)</f>
        <v>1.0825679358951819</v>
      </c>
      <c r="O38" s="35">
        <f>I38+K38+F38</f>
        <v>77.293567935895183</v>
      </c>
      <c r="P38">
        <v>77.319999999999993</v>
      </c>
      <c r="Q38">
        <f>O38-P38</f>
        <v>-2.6432064104810138E-2</v>
      </c>
      <c r="T38">
        <f>S38-R38</f>
        <v>0</v>
      </c>
      <c r="X38">
        <v>3</v>
      </c>
      <c r="Y38"/>
      <c r="Z38">
        <f>(Y38-O38)+0.25</f>
        <v>-77.043567935895183</v>
      </c>
    </row>
    <row r="39" spans="1:26" ht="15.75">
      <c r="A39">
        <v>38</v>
      </c>
      <c r="B39" t="s">
        <v>91</v>
      </c>
      <c r="C39">
        <v>15</v>
      </c>
      <c r="D39" t="s">
        <v>80</v>
      </c>
      <c r="E39">
        <v>5</v>
      </c>
      <c r="F39">
        <v>58.795000000000002</v>
      </c>
      <c r="G39" s="35">
        <v>3</v>
      </c>
      <c r="H39" s="38">
        <v>12</v>
      </c>
      <c r="I39">
        <f>SUM(G39:H39)</f>
        <v>15</v>
      </c>
      <c r="J39">
        <v>0.34250754843279801</v>
      </c>
      <c r="K39">
        <f>(J39*I39)*0.6</f>
        <v>3.0825679358951819</v>
      </c>
      <c r="L39">
        <v>2</v>
      </c>
      <c r="M39">
        <v>0</v>
      </c>
      <c r="N39">
        <f>K39-(L39+M39)</f>
        <v>1.0825679358951819</v>
      </c>
      <c r="O39" s="35">
        <f>I39+K39+F39</f>
        <v>76.877567935895186</v>
      </c>
      <c r="P39">
        <v>76.87</v>
      </c>
      <c r="Q39">
        <f>O39-P39</f>
        <v>7.5679358951816766E-3</v>
      </c>
      <c r="T39">
        <f>S39-R39</f>
        <v>0</v>
      </c>
      <c r="X39">
        <v>3</v>
      </c>
      <c r="Y39"/>
      <c r="Z39">
        <f>(Y39-O39)+0.25</f>
        <v>-76.627567935895186</v>
      </c>
    </row>
    <row r="40" spans="1:26" ht="15.75">
      <c r="A40">
        <v>39</v>
      </c>
      <c r="B40" t="s">
        <v>91</v>
      </c>
      <c r="C40">
        <v>15</v>
      </c>
      <c r="D40" t="s">
        <v>85</v>
      </c>
      <c r="E40">
        <v>1</v>
      </c>
      <c r="F40">
        <v>59.006</v>
      </c>
      <c r="G40" s="35">
        <v>3</v>
      </c>
      <c r="H40" s="35">
        <v>12</v>
      </c>
      <c r="I40">
        <f>SUM(G40:H40)</f>
        <v>15</v>
      </c>
      <c r="J40">
        <v>0.34250754843279801</v>
      </c>
      <c r="K40">
        <f>(J40*I40)*0.6</f>
        <v>3.0825679358951819</v>
      </c>
      <c r="L40">
        <v>0</v>
      </c>
      <c r="M40">
        <v>0</v>
      </c>
      <c r="N40">
        <f>K40-(L40+M40)</f>
        <v>3.0825679358951819</v>
      </c>
      <c r="O40" s="35">
        <f>I40+K40+F40</f>
        <v>77.088567935895185</v>
      </c>
      <c r="P40">
        <v>77.08</v>
      </c>
      <c r="Q40">
        <f>O40-P40</f>
        <v>8.5679358951864515E-3</v>
      </c>
      <c r="T40">
        <f>S40-R40</f>
        <v>0</v>
      </c>
      <c r="X40">
        <v>3</v>
      </c>
      <c r="Y40"/>
      <c r="Z40">
        <f>(Y40-O40)+0.25</f>
        <v>-76.838567935895185</v>
      </c>
    </row>
    <row r="41" spans="1:26" ht="15.75">
      <c r="A41">
        <v>40</v>
      </c>
      <c r="B41" t="s">
        <v>91</v>
      </c>
      <c r="C41">
        <v>15</v>
      </c>
      <c r="D41" t="s">
        <v>85</v>
      </c>
      <c r="E41">
        <v>2</v>
      </c>
      <c r="F41">
        <v>58.878999999999998</v>
      </c>
      <c r="G41" s="35">
        <v>3</v>
      </c>
      <c r="H41" s="38">
        <v>12</v>
      </c>
      <c r="I41">
        <f>SUM(G41:H41)</f>
        <v>15</v>
      </c>
      <c r="J41">
        <v>0.34250754843279801</v>
      </c>
      <c r="K41">
        <f>(J41*I41)*0.6</f>
        <v>3.0825679358951819</v>
      </c>
      <c r="L41">
        <v>0</v>
      </c>
      <c r="M41">
        <v>0</v>
      </c>
      <c r="N41">
        <f>K41-(L41+M41)</f>
        <v>3.0825679358951819</v>
      </c>
      <c r="O41" s="35">
        <f>I41+K41+F41</f>
        <v>76.961567935895175</v>
      </c>
      <c r="P41">
        <v>76.97</v>
      </c>
      <c r="Q41">
        <f>O41-P41</f>
        <v>-8.4320641048236666E-3</v>
      </c>
      <c r="T41">
        <f>S41-R41</f>
        <v>0</v>
      </c>
      <c r="X41">
        <v>3</v>
      </c>
      <c r="Y41"/>
      <c r="Z41">
        <f>(Y41-O41)+0.25</f>
        <v>-76.711567935895175</v>
      </c>
    </row>
    <row r="42" spans="1:26" ht="15.75">
      <c r="A42">
        <v>41</v>
      </c>
      <c r="B42" t="s">
        <v>91</v>
      </c>
      <c r="C42">
        <v>15</v>
      </c>
      <c r="D42" t="s">
        <v>85</v>
      </c>
      <c r="E42">
        <v>3</v>
      </c>
      <c r="F42">
        <v>57.871000000000002</v>
      </c>
      <c r="G42" s="35">
        <v>3</v>
      </c>
      <c r="H42" s="35">
        <v>12</v>
      </c>
      <c r="I42">
        <f>SUM(G42:H42)</f>
        <v>15</v>
      </c>
      <c r="J42">
        <v>0.34250754843279801</v>
      </c>
      <c r="K42">
        <f>(J42*I42)*0.6</f>
        <v>3.0825679358951819</v>
      </c>
      <c r="L42">
        <v>0</v>
      </c>
      <c r="M42">
        <v>0</v>
      </c>
      <c r="N42">
        <f>K42-(L42+M42)</f>
        <v>3.0825679358951819</v>
      </c>
      <c r="O42" s="35">
        <f>I42+K42+F42</f>
        <v>75.95356793589518</v>
      </c>
      <c r="P42">
        <v>75.94</v>
      </c>
      <c r="Q42">
        <f>O42-P42</f>
        <v>1.3567935895181904E-2</v>
      </c>
      <c r="T42">
        <f>S42-R42</f>
        <v>0</v>
      </c>
      <c r="X42">
        <v>3</v>
      </c>
      <c r="Y42"/>
      <c r="Z42">
        <f>(Y42-O42)+0.25</f>
        <v>-75.70356793589518</v>
      </c>
    </row>
    <row r="43" spans="1:26" s="40" customFormat="1" ht="15.75">
      <c r="A43" s="40">
        <v>42</v>
      </c>
      <c r="B43" s="40" t="s">
        <v>91</v>
      </c>
      <c r="C43" s="40">
        <v>15</v>
      </c>
      <c r="D43" s="40" t="s">
        <v>84</v>
      </c>
      <c r="E43" s="40">
        <v>1</v>
      </c>
      <c r="F43" s="40">
        <v>58.981999999999999</v>
      </c>
      <c r="G43" s="35">
        <v>3</v>
      </c>
      <c r="H43" s="38">
        <v>12</v>
      </c>
      <c r="I43">
        <f>SUM(G43:H43)</f>
        <v>15</v>
      </c>
      <c r="J43" s="40">
        <v>0.34250754843279801</v>
      </c>
      <c r="K43" s="40">
        <f>(J43*I43)*0.6</f>
        <v>3.0825679358951819</v>
      </c>
      <c r="L43" s="40">
        <v>0</v>
      </c>
      <c r="M43" s="40">
        <v>0</v>
      </c>
      <c r="N43" s="40">
        <f>K43-(L43+M43)</f>
        <v>3.0825679358951819</v>
      </c>
      <c r="O43" s="35">
        <f>I43+K43+F43</f>
        <v>77.064567935895184</v>
      </c>
      <c r="P43" s="40">
        <v>77.05</v>
      </c>
      <c r="Q43" s="40">
        <f>O43-P43</f>
        <v>1.4567935895186679E-2</v>
      </c>
      <c r="T43" s="40">
        <f>S43-R43</f>
        <v>0</v>
      </c>
      <c r="X43" s="40">
        <v>3</v>
      </c>
      <c r="Y43" s="35"/>
      <c r="Z43" s="40">
        <f>(Y43-O43)+0.25</f>
        <v>-76.814567935895184</v>
      </c>
    </row>
    <row r="44" spans="1:26" ht="15.75">
      <c r="A44">
        <v>43</v>
      </c>
      <c r="B44" t="s">
        <v>11</v>
      </c>
      <c r="C44">
        <v>25</v>
      </c>
      <c r="D44" t="s">
        <v>73</v>
      </c>
      <c r="E44">
        <v>1</v>
      </c>
      <c r="F44">
        <v>58.85</v>
      </c>
      <c r="G44" s="35">
        <v>3</v>
      </c>
      <c r="H44" s="35">
        <v>12</v>
      </c>
      <c r="I44">
        <f>SUM(G44:H44)</f>
        <v>15</v>
      </c>
      <c r="J44">
        <v>0.27780834224825401</v>
      </c>
      <c r="K44">
        <f>(J44*I44)*0.6</f>
        <v>2.5002750802342861</v>
      </c>
      <c r="L44">
        <v>2</v>
      </c>
      <c r="M44">
        <v>0.5</v>
      </c>
      <c r="N44">
        <f>K44-(L44+M44)</f>
        <v>2.7508023428612915E-4</v>
      </c>
      <c r="O44" s="35">
        <f>I44+K44+F44</f>
        <v>76.350275080234283</v>
      </c>
      <c r="P44">
        <v>76.63</v>
      </c>
      <c r="Q44">
        <f>O44-P44</f>
        <v>-0.27972491976571234</v>
      </c>
      <c r="T44">
        <f>S44-R44</f>
        <v>0</v>
      </c>
      <c r="X44">
        <v>3</v>
      </c>
      <c r="Y44"/>
      <c r="Z44">
        <f>(Y44-O44)+0.25</f>
        <v>-76.100275080234283</v>
      </c>
    </row>
    <row r="45" spans="1:26" ht="15.75">
      <c r="A45">
        <v>44</v>
      </c>
      <c r="B45" t="s">
        <v>11</v>
      </c>
      <c r="C45">
        <v>25</v>
      </c>
      <c r="D45" t="s">
        <v>73</v>
      </c>
      <c r="E45">
        <v>2</v>
      </c>
      <c r="F45">
        <v>57.896999999999998</v>
      </c>
      <c r="G45" s="35">
        <v>3</v>
      </c>
      <c r="H45" s="38">
        <v>12</v>
      </c>
      <c r="I45">
        <f>SUM(G45:H45)</f>
        <v>15</v>
      </c>
      <c r="J45">
        <v>0.27780834224825401</v>
      </c>
      <c r="K45">
        <f>(J45*I45)*0.6</f>
        <v>2.5002750802342861</v>
      </c>
      <c r="L45">
        <v>2</v>
      </c>
      <c r="M45">
        <v>0.5</v>
      </c>
      <c r="N45">
        <f>K45-(L45+M45)</f>
        <v>2.7508023428612915E-4</v>
      </c>
      <c r="O45" s="35">
        <f>I45+K45+F45</f>
        <v>75.39727508023428</v>
      </c>
      <c r="P45">
        <v>75.599999999999994</v>
      </c>
      <c r="Q45">
        <f>O45-P45</f>
        <v>-0.20272491976571416</v>
      </c>
      <c r="T45">
        <f>S45-R45</f>
        <v>0</v>
      </c>
      <c r="X45">
        <v>3</v>
      </c>
      <c r="Y45"/>
      <c r="Z45">
        <f>(Y45-O45)+0.25</f>
        <v>-75.14727508023428</v>
      </c>
    </row>
    <row r="46" spans="1:26" ht="15.75">
      <c r="A46">
        <v>45</v>
      </c>
      <c r="B46" t="s">
        <v>11</v>
      </c>
      <c r="C46">
        <v>25</v>
      </c>
      <c r="D46" t="s">
        <v>73</v>
      </c>
      <c r="E46">
        <v>3</v>
      </c>
      <c r="F46">
        <v>59.337000000000003</v>
      </c>
      <c r="G46" s="35">
        <v>3</v>
      </c>
      <c r="H46" s="35">
        <v>12</v>
      </c>
      <c r="I46">
        <f>SUM(G46:H46)</f>
        <v>15</v>
      </c>
      <c r="J46">
        <v>0.27780834224825401</v>
      </c>
      <c r="K46">
        <f>(J46*I46)*0.6</f>
        <v>2.5002750802342861</v>
      </c>
      <c r="L46">
        <v>2</v>
      </c>
      <c r="M46">
        <v>0.5</v>
      </c>
      <c r="N46">
        <f>K46-(L46+M46)</f>
        <v>2.7508023428612915E-4</v>
      </c>
      <c r="O46" s="35">
        <f>I46+K46+F46</f>
        <v>76.837275080234292</v>
      </c>
      <c r="P46">
        <v>77.13</v>
      </c>
      <c r="Q46">
        <f>O46-P46</f>
        <v>-0.29272491976570336</v>
      </c>
      <c r="T46">
        <f>S46-R46</f>
        <v>0</v>
      </c>
      <c r="X46">
        <v>3</v>
      </c>
      <c r="Y46" s="35">
        <v>72.72</v>
      </c>
      <c r="Z46">
        <f>(Y46-O46)+0.25</f>
        <v>-3.8672750802342932</v>
      </c>
    </row>
    <row r="47" spans="1:26" ht="15.75">
      <c r="A47">
        <v>46</v>
      </c>
      <c r="B47" t="s">
        <v>11</v>
      </c>
      <c r="C47">
        <v>25</v>
      </c>
      <c r="D47" t="s">
        <v>73</v>
      </c>
      <c r="E47">
        <v>4</v>
      </c>
      <c r="F47">
        <v>58.030999999999999</v>
      </c>
      <c r="G47" s="35">
        <v>3</v>
      </c>
      <c r="H47" s="38">
        <v>12</v>
      </c>
      <c r="I47">
        <f>SUM(G47:H47)</f>
        <v>15</v>
      </c>
      <c r="J47">
        <v>0.27780834224825401</v>
      </c>
      <c r="K47">
        <f>(J47*I47)*0.6</f>
        <v>2.5002750802342861</v>
      </c>
      <c r="L47">
        <v>2</v>
      </c>
      <c r="M47">
        <v>0.5</v>
      </c>
      <c r="N47">
        <f>K47-(L47+M47)</f>
        <v>2.7508023428612915E-4</v>
      </c>
      <c r="O47" s="35">
        <f>I47+K47+F47</f>
        <v>75.53127508023428</v>
      </c>
      <c r="P47">
        <v>76.069999999999993</v>
      </c>
      <c r="Q47">
        <f>O47-P47</f>
        <v>-0.53872491976571268</v>
      </c>
      <c r="T47">
        <f>S47-R47</f>
        <v>0</v>
      </c>
      <c r="X47">
        <v>3</v>
      </c>
      <c r="Y47"/>
      <c r="Z47">
        <f>(Y47-O47)+0.25</f>
        <v>-75.28127508023428</v>
      </c>
    </row>
    <row r="48" spans="1:26" ht="15.75">
      <c r="A48">
        <v>47</v>
      </c>
      <c r="B48" t="s">
        <v>11</v>
      </c>
      <c r="C48">
        <v>25</v>
      </c>
      <c r="D48" t="s">
        <v>73</v>
      </c>
      <c r="E48">
        <v>5</v>
      </c>
      <c r="F48">
        <v>58.151000000000003</v>
      </c>
      <c r="G48" s="35">
        <v>3</v>
      </c>
      <c r="H48" s="35">
        <v>12</v>
      </c>
      <c r="I48">
        <f>SUM(G48:H48)</f>
        <v>15</v>
      </c>
      <c r="J48">
        <v>0.27780834224825401</v>
      </c>
      <c r="K48">
        <f>(J48*I48)*0.6</f>
        <v>2.5002750802342861</v>
      </c>
      <c r="L48">
        <v>2</v>
      </c>
      <c r="M48">
        <v>0.5</v>
      </c>
      <c r="N48">
        <f>K48-(L48+M48)</f>
        <v>2.7508023428612915E-4</v>
      </c>
      <c r="O48" s="35">
        <f>I48+K48+F48</f>
        <v>75.651275080234285</v>
      </c>
      <c r="P48">
        <v>75.91</v>
      </c>
      <c r="Q48">
        <f>O48-P48</f>
        <v>-0.25872491976571155</v>
      </c>
      <c r="T48">
        <f>S48-R48</f>
        <v>0</v>
      </c>
      <c r="X48">
        <v>3</v>
      </c>
      <c r="Y48"/>
      <c r="Z48">
        <f>(Y48-O48)+0.25</f>
        <v>-75.401275080234285</v>
      </c>
    </row>
    <row r="49" spans="1:26" ht="15.75">
      <c r="A49">
        <v>48</v>
      </c>
      <c r="B49" t="s">
        <v>11</v>
      </c>
      <c r="C49">
        <v>25</v>
      </c>
      <c r="D49" t="s">
        <v>80</v>
      </c>
      <c r="E49">
        <v>1</v>
      </c>
      <c r="F49">
        <v>58.082999999999998</v>
      </c>
      <c r="G49" s="35">
        <v>3</v>
      </c>
      <c r="H49" s="38">
        <v>12</v>
      </c>
      <c r="I49">
        <f>SUM(G49:H49)</f>
        <v>15</v>
      </c>
      <c r="J49">
        <v>0.27780834224825401</v>
      </c>
      <c r="K49">
        <f>(J49*I49)*0.6</f>
        <v>2.5002750802342861</v>
      </c>
      <c r="L49">
        <v>2</v>
      </c>
      <c r="M49">
        <v>0</v>
      </c>
      <c r="N49">
        <f>K49-(L49+M49)</f>
        <v>0.50027508023428613</v>
      </c>
      <c r="O49" s="35">
        <f>I49+K49+F49</f>
        <v>75.583275080234287</v>
      </c>
      <c r="P49">
        <v>75.959999999999994</v>
      </c>
      <c r="Q49">
        <f>O49-P49</f>
        <v>-0.37672491976570655</v>
      </c>
      <c r="T49">
        <f>S49-R49</f>
        <v>0</v>
      </c>
      <c r="X49">
        <v>3</v>
      </c>
      <c r="Y49"/>
      <c r="Z49">
        <f>(Y49-O49)+0.25</f>
        <v>-75.333275080234287</v>
      </c>
    </row>
    <row r="50" spans="1:26" ht="15.75">
      <c r="A50">
        <v>49</v>
      </c>
      <c r="B50" t="s">
        <v>11</v>
      </c>
      <c r="C50">
        <v>25</v>
      </c>
      <c r="D50" t="s">
        <v>80</v>
      </c>
      <c r="E50">
        <v>2</v>
      </c>
      <c r="F50">
        <v>59.344000000000001</v>
      </c>
      <c r="G50" s="35">
        <v>3</v>
      </c>
      <c r="H50" s="35">
        <v>12</v>
      </c>
      <c r="I50">
        <f>SUM(G50:H50)</f>
        <v>15</v>
      </c>
      <c r="J50">
        <v>0.27780834224825401</v>
      </c>
      <c r="K50">
        <f>(J50*I50)*0.6</f>
        <v>2.5002750802342861</v>
      </c>
      <c r="L50">
        <v>2</v>
      </c>
      <c r="M50">
        <v>0</v>
      </c>
      <c r="N50">
        <f>K50-(L50+M50)</f>
        <v>0.50027508023428613</v>
      </c>
      <c r="O50" s="35">
        <f>I50+K50+F50</f>
        <v>76.844275080234283</v>
      </c>
      <c r="P50">
        <v>76.849999999999994</v>
      </c>
      <c r="Q50">
        <f>O50-P50</f>
        <v>-5.7249197657114337E-3</v>
      </c>
      <c r="T50">
        <f>S50-R50</f>
        <v>0</v>
      </c>
      <c r="X50">
        <v>3</v>
      </c>
      <c r="Y50"/>
      <c r="Z50">
        <f>(Y50-O50)+0.25</f>
        <v>-76.594275080234283</v>
      </c>
    </row>
    <row r="51" spans="1:26" ht="15.75">
      <c r="A51">
        <v>50</v>
      </c>
      <c r="B51" t="s">
        <v>11</v>
      </c>
      <c r="C51">
        <v>25</v>
      </c>
      <c r="D51" t="s">
        <v>80</v>
      </c>
      <c r="E51">
        <v>3</v>
      </c>
      <c r="F51">
        <v>59.043999999999997</v>
      </c>
      <c r="G51" s="35">
        <v>3</v>
      </c>
      <c r="H51" s="38">
        <v>12</v>
      </c>
      <c r="I51">
        <f>SUM(G51:H51)</f>
        <v>15</v>
      </c>
      <c r="J51">
        <v>0.27780834224825401</v>
      </c>
      <c r="K51">
        <f>(J51*I51)*0.6</f>
        <v>2.5002750802342861</v>
      </c>
      <c r="L51">
        <v>2</v>
      </c>
      <c r="M51">
        <v>0</v>
      </c>
      <c r="N51">
        <f>K51-(L51+M51)</f>
        <v>0.50027508023428613</v>
      </c>
      <c r="O51" s="35">
        <f>I51+K51+F51</f>
        <v>76.544275080234286</v>
      </c>
      <c r="P51">
        <v>76.53</v>
      </c>
      <c r="Q51">
        <f>O51-P51</f>
        <v>1.4275080234284587E-2</v>
      </c>
      <c r="T51">
        <f>S51-R51</f>
        <v>0</v>
      </c>
      <c r="X51">
        <v>3</v>
      </c>
      <c r="Y51"/>
      <c r="Z51">
        <f>(Y51-O51)+0.25</f>
        <v>-76.294275080234286</v>
      </c>
    </row>
    <row r="52" spans="1:26" ht="15.75">
      <c r="A52">
        <v>51</v>
      </c>
      <c r="B52" t="s">
        <v>11</v>
      </c>
      <c r="C52">
        <v>25</v>
      </c>
      <c r="D52" t="s">
        <v>80</v>
      </c>
      <c r="E52">
        <v>4</v>
      </c>
      <c r="F52">
        <v>59.433</v>
      </c>
      <c r="G52" s="35">
        <v>3</v>
      </c>
      <c r="H52" s="35">
        <v>12</v>
      </c>
      <c r="I52">
        <f>SUM(G52:H52)</f>
        <v>15</v>
      </c>
      <c r="J52">
        <v>0.27780834224825401</v>
      </c>
      <c r="K52">
        <f>(J52*I52)*0.6</f>
        <v>2.5002750802342861</v>
      </c>
      <c r="L52">
        <v>2</v>
      </c>
      <c r="M52">
        <v>0</v>
      </c>
      <c r="N52">
        <f>K52-(L52+M52)</f>
        <v>0.50027508023428613</v>
      </c>
      <c r="O52" s="35">
        <f>I52+K52+F52</f>
        <v>76.933275080234282</v>
      </c>
      <c r="P52">
        <v>76.92</v>
      </c>
      <c r="Q52">
        <f>O52-P52</f>
        <v>1.3275080234279812E-2</v>
      </c>
      <c r="T52">
        <f>S52-R52</f>
        <v>0</v>
      </c>
      <c r="X52">
        <v>3</v>
      </c>
      <c r="Y52"/>
      <c r="Z52">
        <f>(Y52-O52)+0.25</f>
        <v>-76.683275080234282</v>
      </c>
    </row>
    <row r="53" spans="1:26" ht="15.75">
      <c r="A53">
        <v>52</v>
      </c>
      <c r="B53" t="s">
        <v>11</v>
      </c>
      <c r="C53">
        <v>25</v>
      </c>
      <c r="D53" t="s">
        <v>80</v>
      </c>
      <c r="E53">
        <v>5</v>
      </c>
      <c r="F53">
        <v>58.198</v>
      </c>
      <c r="G53" s="35">
        <v>3</v>
      </c>
      <c r="H53" s="38">
        <v>12</v>
      </c>
      <c r="I53">
        <f>SUM(G53:H53)</f>
        <v>15</v>
      </c>
      <c r="J53">
        <v>0.27780834224825401</v>
      </c>
      <c r="K53">
        <f>(J53*I53)*0.6</f>
        <v>2.5002750802342861</v>
      </c>
      <c r="L53">
        <v>2</v>
      </c>
      <c r="M53">
        <v>0</v>
      </c>
      <c r="N53">
        <f>K53-(L53+M53)</f>
        <v>0.50027508023428613</v>
      </c>
      <c r="O53" s="35">
        <f>I53+K53+F53</f>
        <v>75.698275080234282</v>
      </c>
      <c r="P53">
        <v>75.680000000000007</v>
      </c>
      <c r="Q53">
        <f>O53-P53</f>
        <v>1.8275080234275265E-2</v>
      </c>
      <c r="T53">
        <f>S53-R53</f>
        <v>0</v>
      </c>
      <c r="X53">
        <v>3</v>
      </c>
      <c r="Y53"/>
      <c r="Z53">
        <f>(Y53-O53)+0.25</f>
        <v>-75.448275080234282</v>
      </c>
    </row>
    <row r="54" spans="1:26" ht="15.75">
      <c r="A54">
        <v>53</v>
      </c>
      <c r="B54" t="s">
        <v>11</v>
      </c>
      <c r="C54">
        <v>25</v>
      </c>
      <c r="D54" t="s">
        <v>85</v>
      </c>
      <c r="E54">
        <v>1</v>
      </c>
      <c r="F54">
        <v>58.997</v>
      </c>
      <c r="G54" s="35">
        <v>3</v>
      </c>
      <c r="H54" s="35">
        <v>12</v>
      </c>
      <c r="I54">
        <f>SUM(G54:H54)</f>
        <v>15</v>
      </c>
      <c r="J54">
        <v>0.27780834224825401</v>
      </c>
      <c r="K54">
        <f>(J54*I54)*0.6</f>
        <v>2.5002750802342861</v>
      </c>
      <c r="L54">
        <v>0</v>
      </c>
      <c r="M54">
        <v>0</v>
      </c>
      <c r="N54">
        <f>K54-(L54+M54)</f>
        <v>2.5002750802342861</v>
      </c>
      <c r="O54" s="35">
        <f>I54+K54+F54</f>
        <v>76.497275080234289</v>
      </c>
      <c r="P54">
        <v>76.48</v>
      </c>
      <c r="Q54">
        <f>O54-P54</f>
        <v>1.7275080234284701E-2</v>
      </c>
      <c r="T54">
        <f>S54-R54</f>
        <v>0</v>
      </c>
      <c r="X54">
        <v>3</v>
      </c>
      <c r="Y54"/>
      <c r="Z54">
        <f>(Y54-O54)+0.25</f>
        <v>-76.247275080234289</v>
      </c>
    </row>
    <row r="55" spans="1:26" ht="15.75">
      <c r="A55">
        <v>54</v>
      </c>
      <c r="B55" t="s">
        <v>11</v>
      </c>
      <c r="C55">
        <v>25</v>
      </c>
      <c r="D55" t="s">
        <v>85</v>
      </c>
      <c r="E55">
        <v>2</v>
      </c>
      <c r="F55">
        <v>58.384</v>
      </c>
      <c r="G55" s="35">
        <v>3</v>
      </c>
      <c r="H55" s="38">
        <v>12</v>
      </c>
      <c r="I55">
        <f>SUM(G55:H55)</f>
        <v>15</v>
      </c>
      <c r="J55">
        <v>0.27780834224825401</v>
      </c>
      <c r="K55">
        <f>(J55*I55)*0.6</f>
        <v>2.5002750802342861</v>
      </c>
      <c r="L55">
        <v>0</v>
      </c>
      <c r="M55">
        <v>0</v>
      </c>
      <c r="N55">
        <f>K55-(L55+M55)</f>
        <v>2.5002750802342861</v>
      </c>
      <c r="O55" s="35">
        <f>I55+K55+F55</f>
        <v>75.884275080234289</v>
      </c>
      <c r="P55">
        <v>75.92</v>
      </c>
      <c r="Q55">
        <f>O55-P55</f>
        <v>-3.5724919765712571E-2</v>
      </c>
      <c r="T55">
        <f>S55-R55</f>
        <v>0</v>
      </c>
      <c r="X55">
        <v>3</v>
      </c>
      <c r="Y55"/>
      <c r="Z55">
        <f>(Y55-O55)+0.25</f>
        <v>-75.634275080234289</v>
      </c>
    </row>
    <row r="56" spans="1:26" ht="15.75">
      <c r="A56">
        <v>55</v>
      </c>
      <c r="B56" t="s">
        <v>11</v>
      </c>
      <c r="C56">
        <v>25</v>
      </c>
      <c r="D56" t="s">
        <v>85</v>
      </c>
      <c r="E56">
        <v>3</v>
      </c>
      <c r="F56">
        <v>58.283999999999999</v>
      </c>
      <c r="G56" s="35">
        <v>3</v>
      </c>
      <c r="H56" s="35">
        <v>12</v>
      </c>
      <c r="I56">
        <f>SUM(G56:H56)</f>
        <v>15</v>
      </c>
      <c r="J56">
        <v>0.27780834224825401</v>
      </c>
      <c r="K56">
        <f>(J56*I56)*0.6</f>
        <v>2.5002750802342861</v>
      </c>
      <c r="L56">
        <v>0</v>
      </c>
      <c r="M56">
        <v>0</v>
      </c>
      <c r="N56">
        <f>K56-(L56+M56)</f>
        <v>2.5002750802342861</v>
      </c>
      <c r="O56" s="35">
        <f>I56+K56+F56</f>
        <v>75.784275080234281</v>
      </c>
      <c r="P56">
        <v>75.790000000000006</v>
      </c>
      <c r="Q56">
        <f>O56-P56</f>
        <v>-5.7249197657256445E-3</v>
      </c>
      <c r="T56">
        <f>S56-R56</f>
        <v>0</v>
      </c>
      <c r="X56">
        <v>3</v>
      </c>
      <c r="Y56"/>
      <c r="Z56">
        <f>(Y56-O56)+0.25</f>
        <v>-75.534275080234281</v>
      </c>
    </row>
    <row r="57" spans="1:26" s="40" customFormat="1" ht="15.75">
      <c r="A57" s="40">
        <v>56</v>
      </c>
      <c r="B57" s="40" t="s">
        <v>11</v>
      </c>
      <c r="C57" s="40">
        <v>25</v>
      </c>
      <c r="D57" s="40" t="s">
        <v>84</v>
      </c>
      <c r="E57" s="40">
        <v>1</v>
      </c>
      <c r="F57" s="40">
        <v>58.466999999999999</v>
      </c>
      <c r="G57" s="35">
        <v>3</v>
      </c>
      <c r="H57" s="38">
        <v>12</v>
      </c>
      <c r="I57">
        <f>SUM(G57:H57)</f>
        <v>15</v>
      </c>
      <c r="J57" s="40">
        <v>0.27780834224825401</v>
      </c>
      <c r="K57" s="40">
        <f>(J57*I57)*0.6</f>
        <v>2.5002750802342861</v>
      </c>
      <c r="L57" s="40">
        <v>0</v>
      </c>
      <c r="M57" s="40">
        <v>0</v>
      </c>
      <c r="N57" s="40">
        <f>K57-(L57+M57)</f>
        <v>2.5002750802342861</v>
      </c>
      <c r="O57" s="35">
        <f>I57+K57+F57</f>
        <v>75.967275080234288</v>
      </c>
      <c r="P57" s="40">
        <v>75.97</v>
      </c>
      <c r="Q57" s="40">
        <f>O57-P57</f>
        <v>-2.72491976571132E-3</v>
      </c>
      <c r="T57" s="40">
        <f>S57-R57</f>
        <v>0</v>
      </c>
      <c r="X57" s="40">
        <v>3</v>
      </c>
      <c r="Y57" s="35"/>
      <c r="Z57" s="40">
        <f>(Y57-O57)+0.25</f>
        <v>-75.717275080234288</v>
      </c>
    </row>
    <row r="58" spans="1:26" ht="15.75">
      <c r="A58">
        <v>57</v>
      </c>
      <c r="B58" t="s">
        <v>12</v>
      </c>
      <c r="C58">
        <v>25</v>
      </c>
      <c r="D58" t="s">
        <v>73</v>
      </c>
      <c r="E58">
        <v>1</v>
      </c>
      <c r="F58">
        <v>58.863999999999997</v>
      </c>
      <c r="G58" s="35">
        <v>3</v>
      </c>
      <c r="H58" s="35">
        <v>12</v>
      </c>
      <c r="I58">
        <f>SUM(G58:H58)</f>
        <v>15</v>
      </c>
      <c r="J58">
        <v>0.32184350856185201</v>
      </c>
      <c r="K58">
        <f>(J58*I58)*0.6</f>
        <v>2.8965915770566681</v>
      </c>
      <c r="L58">
        <v>2</v>
      </c>
      <c r="M58">
        <v>0.5</v>
      </c>
      <c r="N58">
        <f>K58-(L58+M58)</f>
        <v>0.39659157705666814</v>
      </c>
      <c r="O58" s="35">
        <f>I58+K58+F58</f>
        <v>76.760591577056658</v>
      </c>
      <c r="P58">
        <v>76.77</v>
      </c>
      <c r="Q58">
        <f>O58-P58</f>
        <v>-9.4084229433377686E-3</v>
      </c>
      <c r="T58">
        <f>S58-R58</f>
        <v>0</v>
      </c>
      <c r="X58">
        <v>3</v>
      </c>
      <c r="Y58"/>
      <c r="Z58">
        <f>(Y58-O58)+0.25</f>
        <v>-76.510591577056658</v>
      </c>
    </row>
    <row r="59" spans="1:26" ht="15.75">
      <c r="A59">
        <v>58</v>
      </c>
      <c r="B59" t="s">
        <v>12</v>
      </c>
      <c r="C59">
        <v>25</v>
      </c>
      <c r="D59" t="s">
        <v>73</v>
      </c>
      <c r="E59">
        <v>2</v>
      </c>
      <c r="F59">
        <v>58.951000000000001</v>
      </c>
      <c r="G59" s="35">
        <v>3</v>
      </c>
      <c r="H59" s="38">
        <v>12</v>
      </c>
      <c r="I59">
        <f>SUM(G59:H59)</f>
        <v>15</v>
      </c>
      <c r="J59">
        <v>0.32184350856185201</v>
      </c>
      <c r="K59">
        <f>(J59*I59)*0.6</f>
        <v>2.8965915770566681</v>
      </c>
      <c r="L59">
        <v>2</v>
      </c>
      <c r="M59">
        <v>0.5</v>
      </c>
      <c r="N59">
        <f>K59-(L59+M59)</f>
        <v>0.39659157705666814</v>
      </c>
      <c r="O59" s="35">
        <f>I59+K59+F59</f>
        <v>76.847591577056676</v>
      </c>
      <c r="P59">
        <v>76.87</v>
      </c>
      <c r="Q59">
        <f>O59-P59</f>
        <v>-2.2408422943328787E-2</v>
      </c>
      <c r="T59">
        <f>S59-R59</f>
        <v>0</v>
      </c>
      <c r="X59">
        <v>3</v>
      </c>
      <c r="Y59"/>
      <c r="Z59">
        <f>(Y59-O59)+0.25</f>
        <v>-76.597591577056676</v>
      </c>
    </row>
    <row r="60" spans="1:26" ht="15.75">
      <c r="A60">
        <v>59</v>
      </c>
      <c r="B60" t="s">
        <v>12</v>
      </c>
      <c r="C60">
        <v>25</v>
      </c>
      <c r="D60" t="s">
        <v>73</v>
      </c>
      <c r="E60">
        <v>3</v>
      </c>
      <c r="F60">
        <v>59.209000000000003</v>
      </c>
      <c r="G60" s="35">
        <v>3</v>
      </c>
      <c r="H60" s="35">
        <v>12</v>
      </c>
      <c r="I60">
        <f>SUM(G60:H60)</f>
        <v>15</v>
      </c>
      <c r="J60">
        <v>0.32184350856185201</v>
      </c>
      <c r="K60">
        <f>(J60*I60)*0.6</f>
        <v>2.8965915770566681</v>
      </c>
      <c r="L60">
        <v>2</v>
      </c>
      <c r="M60">
        <v>0.5</v>
      </c>
      <c r="N60">
        <f>K60-(L60+M60)</f>
        <v>0.39659157705666814</v>
      </c>
      <c r="O60" s="35">
        <f>I60+K60+F60</f>
        <v>77.105591577056671</v>
      </c>
      <c r="P60">
        <v>77.099999999999994</v>
      </c>
      <c r="Q60">
        <f>O60-P60</f>
        <v>5.5915770566770107E-3</v>
      </c>
      <c r="T60">
        <f>S60-R60</f>
        <v>0</v>
      </c>
      <c r="X60">
        <v>3</v>
      </c>
      <c r="Y60"/>
      <c r="Z60">
        <f>(Y60-O60)+0.25</f>
        <v>-76.855591577056671</v>
      </c>
    </row>
    <row r="61" spans="1:26" ht="15.75">
      <c r="A61">
        <v>60</v>
      </c>
      <c r="B61" t="s">
        <v>12</v>
      </c>
      <c r="C61">
        <v>25</v>
      </c>
      <c r="D61" t="s">
        <v>73</v>
      </c>
      <c r="E61">
        <v>4</v>
      </c>
      <c r="F61">
        <v>58.475000000000001</v>
      </c>
      <c r="G61" s="35">
        <v>3</v>
      </c>
      <c r="H61" s="38">
        <v>12</v>
      </c>
      <c r="I61">
        <f>SUM(G61:H61)</f>
        <v>15</v>
      </c>
      <c r="J61">
        <v>0.32184350856185201</v>
      </c>
      <c r="K61">
        <f>(J61*I61)*0.6</f>
        <v>2.8965915770566681</v>
      </c>
      <c r="L61">
        <v>2</v>
      </c>
      <c r="M61">
        <v>0.5</v>
      </c>
      <c r="N61">
        <f>K61-(L61+M61)</f>
        <v>0.39659157705666814</v>
      </c>
      <c r="O61" s="35">
        <f>I61+K61+F61</f>
        <v>76.371591577056677</v>
      </c>
      <c r="P61">
        <v>75.58</v>
      </c>
      <c r="Q61">
        <f>O61-P61</f>
        <v>0.79159157705667837</v>
      </c>
      <c r="T61">
        <f>S61-R61</f>
        <v>0</v>
      </c>
      <c r="X61">
        <v>3</v>
      </c>
      <c r="Y61"/>
      <c r="Z61">
        <f>(Y61-O61)+0.25</f>
        <v>-76.121591577056677</v>
      </c>
    </row>
    <row r="62" spans="1:26" ht="15.75">
      <c r="A62">
        <v>61</v>
      </c>
      <c r="B62" t="s">
        <v>12</v>
      </c>
      <c r="C62">
        <v>25</v>
      </c>
      <c r="D62" t="s">
        <v>73</v>
      </c>
      <c r="E62">
        <v>5</v>
      </c>
      <c r="F62">
        <v>57.343000000000004</v>
      </c>
      <c r="G62" s="35">
        <v>3</v>
      </c>
      <c r="H62" s="35">
        <v>12</v>
      </c>
      <c r="I62">
        <f>SUM(G62:H62)</f>
        <v>15</v>
      </c>
      <c r="J62">
        <v>0.32184350856185201</v>
      </c>
      <c r="K62">
        <f>(J62*I62)*0.6</f>
        <v>2.8965915770566681</v>
      </c>
      <c r="L62">
        <v>2</v>
      </c>
      <c r="M62">
        <v>0.5</v>
      </c>
      <c r="N62">
        <f>K62-(L62+M62)</f>
        <v>0.39659157705666814</v>
      </c>
      <c r="O62" s="35">
        <f>I62+K62+F62</f>
        <v>75.239591577056672</v>
      </c>
      <c r="P62">
        <v>75.22</v>
      </c>
      <c r="Q62">
        <f>O62-P62</f>
        <v>1.9591577056672804E-2</v>
      </c>
      <c r="T62">
        <f>S62-R62</f>
        <v>0</v>
      </c>
      <c r="X62">
        <v>3</v>
      </c>
      <c r="Y62"/>
      <c r="Z62">
        <f>(Y62-O62)+0.25</f>
        <v>-74.989591577056672</v>
      </c>
    </row>
    <row r="63" spans="1:26" ht="15.75">
      <c r="A63">
        <v>62</v>
      </c>
      <c r="B63" t="s">
        <v>12</v>
      </c>
      <c r="C63">
        <v>25</v>
      </c>
      <c r="D63" t="s">
        <v>80</v>
      </c>
      <c r="E63">
        <v>1</v>
      </c>
      <c r="F63">
        <v>58.366999999999997</v>
      </c>
      <c r="G63" s="35">
        <v>3</v>
      </c>
      <c r="H63" s="38">
        <v>12</v>
      </c>
      <c r="I63">
        <f>SUM(G63:H63)</f>
        <v>15</v>
      </c>
      <c r="J63">
        <v>0.32184350856185201</v>
      </c>
      <c r="K63">
        <f>(J63*I63)*0.6</f>
        <v>2.8965915770566681</v>
      </c>
      <c r="L63">
        <v>2</v>
      </c>
      <c r="M63">
        <v>0</v>
      </c>
      <c r="N63">
        <f>K63-(L63+M63)</f>
        <v>0.89659157705666814</v>
      </c>
      <c r="O63" s="35">
        <f>I63+K63+F63</f>
        <v>76.263591577056673</v>
      </c>
      <c r="P63">
        <v>76.25</v>
      </c>
      <c r="Q63">
        <f>O63-P63</f>
        <v>1.3591577056672577E-2</v>
      </c>
      <c r="T63">
        <f>S63-R63</f>
        <v>0</v>
      </c>
      <c r="X63">
        <v>3</v>
      </c>
      <c r="Y63"/>
      <c r="Z63">
        <f>(Y63-O63)+0.25</f>
        <v>-76.013591577056673</v>
      </c>
    </row>
    <row r="64" spans="1:26" ht="15.75">
      <c r="A64">
        <v>63</v>
      </c>
      <c r="B64" t="s">
        <v>12</v>
      </c>
      <c r="C64">
        <v>25</v>
      </c>
      <c r="D64" t="s">
        <v>80</v>
      </c>
      <c r="E64">
        <v>2</v>
      </c>
      <c r="F64">
        <v>57.597000000000001</v>
      </c>
      <c r="G64" s="35">
        <v>3</v>
      </c>
      <c r="H64" s="35">
        <v>12</v>
      </c>
      <c r="I64">
        <f>SUM(G64:H64)</f>
        <v>15</v>
      </c>
      <c r="J64">
        <v>0.32184350856185201</v>
      </c>
      <c r="K64">
        <f>(J64*I64)*0.6</f>
        <v>2.8965915770566681</v>
      </c>
      <c r="L64">
        <v>2</v>
      </c>
      <c r="M64">
        <v>0</v>
      </c>
      <c r="N64">
        <f>K64-(L64+M64)</f>
        <v>0.89659157705666814</v>
      </c>
      <c r="O64" s="35">
        <f>I64+K64+F64</f>
        <v>75.493591577056662</v>
      </c>
      <c r="P64">
        <v>75.53</v>
      </c>
      <c r="Q64">
        <f>O64-P64</f>
        <v>-3.6408422943338792E-2</v>
      </c>
      <c r="T64">
        <f>S64-R64</f>
        <v>0</v>
      </c>
      <c r="X64">
        <v>3</v>
      </c>
      <c r="Y64"/>
      <c r="Z64">
        <f>(Y64-O64)+0.25</f>
        <v>-75.243591577056662</v>
      </c>
    </row>
    <row r="65" spans="1:26" ht="15.75">
      <c r="A65">
        <v>64</v>
      </c>
      <c r="B65" t="s">
        <v>12</v>
      </c>
      <c r="C65">
        <v>25</v>
      </c>
      <c r="D65" t="s">
        <v>80</v>
      </c>
      <c r="E65">
        <v>3</v>
      </c>
      <c r="F65">
        <v>58.695999999999998</v>
      </c>
      <c r="G65" s="35">
        <v>3</v>
      </c>
      <c r="H65" s="38">
        <v>12</v>
      </c>
      <c r="I65">
        <f>SUM(G65:H65)</f>
        <v>15</v>
      </c>
      <c r="J65">
        <v>0.32184350856185201</v>
      </c>
      <c r="K65">
        <f>(J65*I65)*0.6</f>
        <v>2.8965915770566681</v>
      </c>
      <c r="L65">
        <v>2</v>
      </c>
      <c r="M65">
        <v>0</v>
      </c>
      <c r="N65">
        <f>K65-(L65+M65)</f>
        <v>0.89659157705666814</v>
      </c>
      <c r="O65" s="35">
        <f>I65+K65+F65</f>
        <v>76.592591577056666</v>
      </c>
      <c r="P65">
        <v>76.58</v>
      </c>
      <c r="Q65">
        <f>O65-P65</f>
        <v>1.2591577056667802E-2</v>
      </c>
      <c r="T65">
        <f>S65-R65</f>
        <v>0</v>
      </c>
      <c r="X65">
        <v>3</v>
      </c>
      <c r="Y65"/>
      <c r="Z65">
        <f>(Y65-O65)+0.25</f>
        <v>-76.342591577056666</v>
      </c>
    </row>
    <row r="66" spans="1:26" ht="15.75">
      <c r="A66">
        <v>65</v>
      </c>
      <c r="B66" t="s">
        <v>12</v>
      </c>
      <c r="C66">
        <v>25</v>
      </c>
      <c r="D66" t="s">
        <v>80</v>
      </c>
      <c r="E66">
        <v>4</v>
      </c>
      <c r="F66">
        <v>58.723999999999997</v>
      </c>
      <c r="G66" s="35">
        <v>3</v>
      </c>
      <c r="H66" s="35">
        <v>12</v>
      </c>
      <c r="I66">
        <f>SUM(G66:H66)</f>
        <v>15</v>
      </c>
      <c r="J66">
        <v>0.32184350856185201</v>
      </c>
      <c r="K66">
        <f>(J66*I66)*0.6</f>
        <v>2.8965915770566681</v>
      </c>
      <c r="L66">
        <v>2</v>
      </c>
      <c r="M66">
        <v>0</v>
      </c>
      <c r="N66">
        <f>K66-(L66+M66)</f>
        <v>0.89659157705666814</v>
      </c>
      <c r="O66" s="35">
        <f>I66+K66+F66</f>
        <v>76.620591577056672</v>
      </c>
      <c r="P66">
        <v>76.62</v>
      </c>
      <c r="Q66">
        <f>O66-P66</f>
        <v>5.9157705666734728E-4</v>
      </c>
      <c r="T66">
        <f>S66-R66</f>
        <v>0</v>
      </c>
      <c r="X66">
        <v>3</v>
      </c>
      <c r="Y66"/>
      <c r="Z66">
        <f>(Y66-O66)+0.25</f>
        <v>-76.370591577056672</v>
      </c>
    </row>
    <row r="67" spans="1:26" ht="15.75">
      <c r="A67">
        <v>66</v>
      </c>
      <c r="B67" t="s">
        <v>12</v>
      </c>
      <c r="C67">
        <v>25</v>
      </c>
      <c r="D67" t="s">
        <v>80</v>
      </c>
      <c r="E67">
        <v>5</v>
      </c>
      <c r="F67">
        <v>58.198</v>
      </c>
      <c r="G67" s="35">
        <v>3</v>
      </c>
      <c r="H67" s="38">
        <v>12</v>
      </c>
      <c r="I67">
        <f>SUM(G67:H67)</f>
        <v>15</v>
      </c>
      <c r="J67">
        <v>0.32184350856185201</v>
      </c>
      <c r="K67">
        <f>(J67*I67)*0.6</f>
        <v>2.8965915770566681</v>
      </c>
      <c r="L67">
        <v>2</v>
      </c>
      <c r="M67">
        <v>0</v>
      </c>
      <c r="N67">
        <f>K67-(L67+M67)</f>
        <v>0.89659157705666814</v>
      </c>
      <c r="O67" s="35">
        <f>I67+K67+F67</f>
        <v>76.094591577056661</v>
      </c>
      <c r="P67">
        <v>76.010000000000005</v>
      </c>
      <c r="Q67">
        <f>O67-P67</f>
        <v>8.459157705665632E-2</v>
      </c>
      <c r="T67">
        <f>S67-R67</f>
        <v>0</v>
      </c>
      <c r="X67">
        <v>3</v>
      </c>
      <c r="Y67"/>
      <c r="Z67">
        <f>(Y67-O67)+0.25</f>
        <v>-75.844591577056661</v>
      </c>
    </row>
    <row r="68" spans="1:26" ht="15.75">
      <c r="A68">
        <v>67</v>
      </c>
      <c r="B68" t="s">
        <v>12</v>
      </c>
      <c r="C68">
        <v>25</v>
      </c>
      <c r="D68" t="s">
        <v>85</v>
      </c>
      <c r="E68">
        <v>1</v>
      </c>
      <c r="F68">
        <v>59.600999999999999</v>
      </c>
      <c r="G68" s="35">
        <v>3</v>
      </c>
      <c r="H68" s="35">
        <v>12</v>
      </c>
      <c r="I68">
        <f>SUM(G68:H68)</f>
        <v>15</v>
      </c>
      <c r="J68">
        <v>0.32184350856185201</v>
      </c>
      <c r="K68">
        <f>(J68*I68)*0.6</f>
        <v>2.8965915770566681</v>
      </c>
      <c r="L68">
        <v>0</v>
      </c>
      <c r="M68">
        <v>0</v>
      </c>
      <c r="N68">
        <f>K68-(L68+M68)</f>
        <v>2.8965915770566681</v>
      </c>
      <c r="O68" s="35">
        <f>I68+K68+F68</f>
        <v>77.497591577056667</v>
      </c>
      <c r="P68">
        <v>77.489999999999995</v>
      </c>
      <c r="Q68">
        <f>O68-P68</f>
        <v>7.5915770566723495E-3</v>
      </c>
      <c r="T68">
        <f>S68-R68</f>
        <v>0</v>
      </c>
      <c r="X68">
        <v>3</v>
      </c>
      <c r="Y68"/>
      <c r="Z68">
        <f>(Y68-O68)+0.25</f>
        <v>-77.247591577056667</v>
      </c>
    </row>
    <row r="69" spans="1:26" ht="15.75">
      <c r="A69">
        <v>68</v>
      </c>
      <c r="B69" t="s">
        <v>12</v>
      </c>
      <c r="C69">
        <v>25</v>
      </c>
      <c r="D69" t="s">
        <v>85</v>
      </c>
      <c r="E69">
        <v>2</v>
      </c>
      <c r="F69">
        <v>58.91</v>
      </c>
      <c r="G69" s="35">
        <v>3</v>
      </c>
      <c r="H69" s="38">
        <v>12</v>
      </c>
      <c r="I69">
        <f>SUM(G69:H69)</f>
        <v>15</v>
      </c>
      <c r="J69">
        <v>0.32184350856185201</v>
      </c>
      <c r="K69">
        <f>(J69*I69)*0.6</f>
        <v>2.8965915770566681</v>
      </c>
      <c r="L69">
        <v>0</v>
      </c>
      <c r="M69">
        <v>0</v>
      </c>
      <c r="N69">
        <f>K69-(L69+M69)</f>
        <v>2.8965915770566681</v>
      </c>
      <c r="O69" s="35">
        <f>I69+K69+F69</f>
        <v>76.806591577056665</v>
      </c>
      <c r="P69">
        <v>76.790000000000006</v>
      </c>
      <c r="Q69">
        <f>O69-P69</f>
        <v>1.659157705665848E-2</v>
      </c>
      <c r="T69">
        <f>S69-R69</f>
        <v>0</v>
      </c>
      <c r="X69">
        <v>3</v>
      </c>
      <c r="Y69"/>
      <c r="Z69">
        <f>(Y69-O69)+0.25</f>
        <v>-76.556591577056665</v>
      </c>
    </row>
    <row r="70" spans="1:26" ht="15.75">
      <c r="A70">
        <v>69</v>
      </c>
      <c r="B70" t="s">
        <v>12</v>
      </c>
      <c r="C70">
        <v>25</v>
      </c>
      <c r="D70" t="s">
        <v>85</v>
      </c>
      <c r="E70">
        <v>3</v>
      </c>
      <c r="F70">
        <v>59.46</v>
      </c>
      <c r="G70" s="35">
        <v>3</v>
      </c>
      <c r="H70" s="35">
        <v>12</v>
      </c>
      <c r="I70">
        <f>SUM(G70:H70)</f>
        <v>15</v>
      </c>
      <c r="J70">
        <v>0.32184350856185201</v>
      </c>
      <c r="K70">
        <f>(J70*I70)*0.6</f>
        <v>2.8965915770566681</v>
      </c>
      <c r="L70">
        <v>0</v>
      </c>
      <c r="M70">
        <v>0</v>
      </c>
      <c r="N70">
        <f>K70-(L70+M70)</f>
        <v>2.8965915770566681</v>
      </c>
      <c r="O70" s="35">
        <f>I70+K70+F70</f>
        <v>77.356591577056662</v>
      </c>
      <c r="P70">
        <v>75.19</v>
      </c>
      <c r="Q70">
        <f>O70-P70</f>
        <v>2.1665915770566642</v>
      </c>
      <c r="T70">
        <f>S70-R70</f>
        <v>0</v>
      </c>
      <c r="X70">
        <v>3</v>
      </c>
      <c r="Y70"/>
      <c r="Z70">
        <f>(Y70-O70)+0.25</f>
        <v>-77.106591577056662</v>
      </c>
    </row>
    <row r="71" spans="1:26" s="40" customFormat="1" ht="15.75">
      <c r="A71" s="40">
        <v>70</v>
      </c>
      <c r="B71" s="40" t="s">
        <v>12</v>
      </c>
      <c r="C71" s="40">
        <v>25</v>
      </c>
      <c r="D71" s="40" t="s">
        <v>84</v>
      </c>
      <c r="E71" s="40">
        <v>1</v>
      </c>
      <c r="F71" s="40">
        <v>58.170999999999999</v>
      </c>
      <c r="G71" s="35">
        <v>3</v>
      </c>
      <c r="H71" s="38">
        <v>12</v>
      </c>
      <c r="I71">
        <f>SUM(G71:H71)</f>
        <v>15</v>
      </c>
      <c r="J71" s="40">
        <v>0.32184350856185201</v>
      </c>
      <c r="K71" s="40">
        <f>(J71*I71)*0.6</f>
        <v>2.8965915770566681</v>
      </c>
      <c r="L71" s="40">
        <v>0</v>
      </c>
      <c r="M71" s="40">
        <v>0</v>
      </c>
      <c r="N71" s="40">
        <f>K71-(L71+M71)</f>
        <v>2.8965915770566681</v>
      </c>
      <c r="O71" s="35">
        <f>I71+K71+F71</f>
        <v>76.067591577056675</v>
      </c>
      <c r="P71" s="40">
        <v>76.040000000000006</v>
      </c>
      <c r="Q71" s="40">
        <f>O71-P71</f>
        <v>2.759157705666837E-2</v>
      </c>
      <c r="T71" s="40">
        <f>S71-R71</f>
        <v>0</v>
      </c>
      <c r="X71" s="40">
        <v>3</v>
      </c>
      <c r="Y71" s="35"/>
      <c r="Z71" s="40">
        <f>(Y71-O71)+0.25</f>
        <v>-75.817591577056675</v>
      </c>
    </row>
    <row r="72" spans="1:26" ht="15.75">
      <c r="A72">
        <v>71</v>
      </c>
      <c r="B72" t="s">
        <v>91</v>
      </c>
      <c r="C72">
        <v>25</v>
      </c>
      <c r="D72" t="s">
        <v>73</v>
      </c>
      <c r="E72">
        <v>1</v>
      </c>
      <c r="F72">
        <v>59.613999999999997</v>
      </c>
      <c r="G72" s="35">
        <v>3</v>
      </c>
      <c r="H72" s="35">
        <v>12</v>
      </c>
      <c r="I72">
        <f>SUM(G72:H72)</f>
        <v>15</v>
      </c>
      <c r="J72">
        <v>0.34250754843279801</v>
      </c>
      <c r="K72">
        <f>(J72*I72)*0.6</f>
        <v>3.0825679358951819</v>
      </c>
      <c r="L72">
        <v>2</v>
      </c>
      <c r="M72">
        <v>0.5</v>
      </c>
      <c r="N72">
        <f>K72-(L72+M72)</f>
        <v>0.58256793589518185</v>
      </c>
      <c r="O72" s="35">
        <f>I72+K72+F72</f>
        <v>77.696567935895175</v>
      </c>
      <c r="P72">
        <v>77.73</v>
      </c>
      <c r="Q72">
        <f>O72-P72</f>
        <v>-3.3432064104829351E-2</v>
      </c>
      <c r="T72">
        <f>S72-R72</f>
        <v>0</v>
      </c>
      <c r="X72">
        <v>3</v>
      </c>
      <c r="Y72"/>
      <c r="Z72">
        <f>(Y72-O72)+0.25</f>
        <v>-77.446567935895175</v>
      </c>
    </row>
    <row r="73" spans="1:26" ht="15.75">
      <c r="A73">
        <v>72</v>
      </c>
      <c r="B73" t="s">
        <v>91</v>
      </c>
      <c r="C73">
        <v>25</v>
      </c>
      <c r="D73" t="s">
        <v>73</v>
      </c>
      <c r="E73">
        <v>2</v>
      </c>
      <c r="F73">
        <v>59.523000000000003</v>
      </c>
      <c r="G73" s="35">
        <v>3</v>
      </c>
      <c r="H73" s="38">
        <v>12</v>
      </c>
      <c r="I73">
        <f>SUM(G73:H73)</f>
        <v>15</v>
      </c>
      <c r="J73">
        <v>0.34250754843279801</v>
      </c>
      <c r="K73">
        <f>(J73*I73)*0.6</f>
        <v>3.0825679358951819</v>
      </c>
      <c r="L73">
        <v>2</v>
      </c>
      <c r="M73">
        <v>0.5</v>
      </c>
      <c r="N73">
        <f>K73-(L73+M73)</f>
        <v>0.58256793589518185</v>
      </c>
      <c r="O73" s="35">
        <f>I73+K73+F73</f>
        <v>77.605567935895181</v>
      </c>
      <c r="P73">
        <v>77.61</v>
      </c>
      <c r="Q73">
        <f>O73-P73</f>
        <v>-4.4320641048187781E-3</v>
      </c>
      <c r="T73">
        <f>S73-R73</f>
        <v>0</v>
      </c>
      <c r="X73">
        <v>3</v>
      </c>
      <c r="Y73"/>
      <c r="Z73">
        <f>(Y73-O73)+0.25</f>
        <v>-77.355567935895181</v>
      </c>
    </row>
    <row r="74" spans="1:26" ht="15.75">
      <c r="A74">
        <v>73</v>
      </c>
      <c r="B74" t="s">
        <v>91</v>
      </c>
      <c r="C74">
        <v>25</v>
      </c>
      <c r="D74" t="s">
        <v>73</v>
      </c>
      <c r="E74">
        <v>3</v>
      </c>
      <c r="F74">
        <v>59.398000000000003</v>
      </c>
      <c r="G74" s="35">
        <v>3</v>
      </c>
      <c r="H74" s="35">
        <v>12</v>
      </c>
      <c r="I74">
        <f>SUM(G74:H74)</f>
        <v>15</v>
      </c>
      <c r="J74">
        <v>0.34250754843279801</v>
      </c>
      <c r="K74">
        <f>(J74*I74)*0.6</f>
        <v>3.0825679358951819</v>
      </c>
      <c r="L74">
        <v>2</v>
      </c>
      <c r="M74">
        <v>0.5</v>
      </c>
      <c r="N74">
        <f>K74-(L74+M74)</f>
        <v>0.58256793589518185</v>
      </c>
      <c r="O74" s="35">
        <f>I74+K74+F74</f>
        <v>77.480567935895181</v>
      </c>
      <c r="P74">
        <v>77.48</v>
      </c>
      <c r="Q74">
        <f>O74-P74</f>
        <v>5.6793589517667442E-4</v>
      </c>
      <c r="T74">
        <f>S74-R74</f>
        <v>0</v>
      </c>
      <c r="X74">
        <v>3</v>
      </c>
      <c r="Y74"/>
      <c r="Z74">
        <f>(Y74-O74)+0.25</f>
        <v>-77.230567935895181</v>
      </c>
    </row>
    <row r="75" spans="1:26" ht="15.75">
      <c r="A75">
        <v>74</v>
      </c>
      <c r="B75" t="s">
        <v>91</v>
      </c>
      <c r="C75">
        <v>25</v>
      </c>
      <c r="D75" t="s">
        <v>73</v>
      </c>
      <c r="E75">
        <v>4</v>
      </c>
      <c r="F75">
        <v>59.069000000000003</v>
      </c>
      <c r="G75" s="35">
        <v>3</v>
      </c>
      <c r="H75" s="38">
        <v>12</v>
      </c>
      <c r="I75">
        <f>SUM(G75:H75)</f>
        <v>15</v>
      </c>
      <c r="J75">
        <v>0.34250754843279801</v>
      </c>
      <c r="K75">
        <f>(J75*I75)*0.6</f>
        <v>3.0825679358951819</v>
      </c>
      <c r="L75">
        <v>2</v>
      </c>
      <c r="M75">
        <v>0.5</v>
      </c>
      <c r="N75">
        <f>K75-(L75+M75)</f>
        <v>0.58256793589518185</v>
      </c>
      <c r="O75" s="35">
        <f>I75+K75+F75</f>
        <v>77.151567935895187</v>
      </c>
      <c r="P75">
        <v>76.52</v>
      </c>
      <c r="Q75">
        <f>O75-P75</f>
        <v>0.63156793589519111</v>
      </c>
      <c r="T75">
        <f>S75-R75</f>
        <v>0</v>
      </c>
      <c r="X75">
        <v>3</v>
      </c>
      <c r="Y75"/>
      <c r="Z75">
        <f>(Y75-O75)+0.25</f>
        <v>-76.901567935895187</v>
      </c>
    </row>
    <row r="76" spans="1:26" ht="15.75">
      <c r="A76">
        <v>75</v>
      </c>
      <c r="B76" t="s">
        <v>91</v>
      </c>
      <c r="C76">
        <v>25</v>
      </c>
      <c r="D76" t="s">
        <v>73</v>
      </c>
      <c r="E76">
        <v>5</v>
      </c>
      <c r="F76">
        <v>58.031999999999996</v>
      </c>
      <c r="G76" s="35">
        <v>3</v>
      </c>
      <c r="H76" s="35">
        <v>12</v>
      </c>
      <c r="I76">
        <f>SUM(G76:H76)</f>
        <v>15</v>
      </c>
      <c r="J76">
        <v>0.34250754843279801</v>
      </c>
      <c r="K76">
        <f>(J76*I76)*0.6</f>
        <v>3.0825679358951819</v>
      </c>
      <c r="L76">
        <v>2</v>
      </c>
      <c r="M76">
        <v>0.5</v>
      </c>
      <c r="N76">
        <f>K76-(L76+M76)</f>
        <v>0.58256793589518185</v>
      </c>
      <c r="O76" s="35">
        <f>I76+K76+F76</f>
        <v>76.114567935895181</v>
      </c>
      <c r="P76">
        <v>76.13</v>
      </c>
      <c r="Q76">
        <f>O76-P76</f>
        <v>-1.5432064104814458E-2</v>
      </c>
      <c r="T76">
        <f>S76-R76</f>
        <v>0</v>
      </c>
      <c r="X76">
        <v>3</v>
      </c>
      <c r="Y76"/>
      <c r="Z76">
        <f>(Y76-O76)+0.25</f>
        <v>-75.864567935895181</v>
      </c>
    </row>
    <row r="77" spans="1:26" ht="15.75">
      <c r="A77">
        <v>76</v>
      </c>
      <c r="B77" t="s">
        <v>91</v>
      </c>
      <c r="C77">
        <v>25</v>
      </c>
      <c r="D77" t="s">
        <v>80</v>
      </c>
      <c r="E77">
        <v>1</v>
      </c>
      <c r="F77">
        <v>57.761000000000003</v>
      </c>
      <c r="G77" s="35">
        <v>3</v>
      </c>
      <c r="H77" s="38">
        <v>12</v>
      </c>
      <c r="I77">
        <f>SUM(G77:H77)</f>
        <v>15</v>
      </c>
      <c r="J77">
        <v>0.34250754843279801</v>
      </c>
      <c r="K77">
        <f>(J77*I77)*0.6</f>
        <v>3.0825679358951819</v>
      </c>
      <c r="L77">
        <v>2</v>
      </c>
      <c r="M77">
        <v>0</v>
      </c>
      <c r="N77">
        <f>K77-(L77+M77)</f>
        <v>1.0825679358951819</v>
      </c>
      <c r="O77" s="35">
        <f>I77+K77+F77</f>
        <v>75.84356793589518</v>
      </c>
      <c r="P77">
        <v>75.83</v>
      </c>
      <c r="Q77">
        <f>O77-P77</f>
        <v>1.3567935895181904E-2</v>
      </c>
      <c r="T77">
        <f>S77-R77</f>
        <v>0</v>
      </c>
      <c r="X77">
        <v>3</v>
      </c>
      <c r="Y77"/>
      <c r="Z77">
        <f>(Y77-O77)+0.25</f>
        <v>-75.59356793589518</v>
      </c>
    </row>
    <row r="78" spans="1:26" ht="15.75">
      <c r="A78">
        <v>77</v>
      </c>
      <c r="B78" t="s">
        <v>91</v>
      </c>
      <c r="C78">
        <v>25</v>
      </c>
      <c r="D78" t="s">
        <v>80</v>
      </c>
      <c r="E78">
        <v>2</v>
      </c>
      <c r="F78">
        <v>59.67</v>
      </c>
      <c r="G78" s="35">
        <v>3</v>
      </c>
      <c r="H78" s="35">
        <v>12</v>
      </c>
      <c r="I78">
        <f>SUM(G78:H78)</f>
        <v>15</v>
      </c>
      <c r="J78">
        <v>0.34250754843279801</v>
      </c>
      <c r="K78">
        <f>(J78*I78)*0.6</f>
        <v>3.0825679358951819</v>
      </c>
      <c r="L78">
        <v>2</v>
      </c>
      <c r="M78">
        <v>0</v>
      </c>
      <c r="N78">
        <f>K78-(L78+M78)</f>
        <v>1.0825679358951819</v>
      </c>
      <c r="O78" s="35">
        <f>I78+K78+F78</f>
        <v>77.752567935895186</v>
      </c>
      <c r="P78">
        <v>77.75</v>
      </c>
      <c r="Q78">
        <f>O78-P78</f>
        <v>2.5679358951862241E-3</v>
      </c>
      <c r="T78">
        <f>S78-R78</f>
        <v>0</v>
      </c>
      <c r="X78">
        <v>3</v>
      </c>
      <c r="Y78"/>
      <c r="Z78">
        <f>(Y78-O78)+0.25</f>
        <v>-77.502567935895186</v>
      </c>
    </row>
    <row r="79" spans="1:26" ht="15.75">
      <c r="A79">
        <v>78</v>
      </c>
      <c r="B79" t="s">
        <v>91</v>
      </c>
      <c r="C79">
        <v>25</v>
      </c>
      <c r="D79" t="s">
        <v>80</v>
      </c>
      <c r="E79">
        <v>3</v>
      </c>
      <c r="F79">
        <v>59.692999999999998</v>
      </c>
      <c r="G79" s="35">
        <v>3</v>
      </c>
      <c r="H79" s="38">
        <v>12</v>
      </c>
      <c r="I79">
        <f>SUM(G79:H79)</f>
        <v>15</v>
      </c>
      <c r="J79">
        <v>0.34250754843279801</v>
      </c>
      <c r="K79">
        <f>(J79*I79)*0.6</f>
        <v>3.0825679358951819</v>
      </c>
      <c r="L79">
        <v>2</v>
      </c>
      <c r="M79">
        <v>0</v>
      </c>
      <c r="N79">
        <f>K79-(L79+M79)</f>
        <v>1.0825679358951819</v>
      </c>
      <c r="O79" s="35">
        <f>I79+K79+F79</f>
        <v>77.775567935895182</v>
      </c>
      <c r="P79">
        <v>77.78</v>
      </c>
      <c r="Q79">
        <f>O79-P79</f>
        <v>-4.4320641048187781E-3</v>
      </c>
      <c r="T79">
        <f>S79-R79</f>
        <v>0</v>
      </c>
      <c r="X79">
        <v>3</v>
      </c>
      <c r="Y79"/>
      <c r="Z79">
        <f>(Y79-O79)+0.25</f>
        <v>-77.525567935895182</v>
      </c>
    </row>
    <row r="80" spans="1:26" ht="15.75">
      <c r="A80">
        <v>79</v>
      </c>
      <c r="B80" t="s">
        <v>91</v>
      </c>
      <c r="C80">
        <v>25</v>
      </c>
      <c r="D80" t="s">
        <v>80</v>
      </c>
      <c r="E80">
        <v>4</v>
      </c>
      <c r="F80">
        <v>59.48</v>
      </c>
      <c r="G80" s="35">
        <v>3</v>
      </c>
      <c r="H80" s="35">
        <v>12</v>
      </c>
      <c r="I80">
        <f>SUM(G80:H80)</f>
        <v>15</v>
      </c>
      <c r="J80">
        <v>0.34250754843279801</v>
      </c>
      <c r="K80">
        <f>(J80*I80)*0.6</f>
        <v>3.0825679358951819</v>
      </c>
      <c r="L80">
        <v>2</v>
      </c>
      <c r="M80">
        <v>0</v>
      </c>
      <c r="N80">
        <f>K80-(L80+M80)</f>
        <v>1.0825679358951819</v>
      </c>
      <c r="O80" s="35">
        <f>I80+K80+F80</f>
        <v>77.562567935895174</v>
      </c>
      <c r="P80">
        <v>77.58</v>
      </c>
      <c r="Q80">
        <f>O80-P80</f>
        <v>-1.7432064104824008E-2</v>
      </c>
      <c r="T80">
        <f>S80-R80</f>
        <v>0</v>
      </c>
      <c r="X80">
        <v>3</v>
      </c>
      <c r="Y80"/>
      <c r="Z80">
        <f>(Y80-O80)+0.25</f>
        <v>-77.312567935895174</v>
      </c>
    </row>
    <row r="81" spans="1:26" ht="15.75">
      <c r="A81">
        <v>80</v>
      </c>
      <c r="B81" t="s">
        <v>91</v>
      </c>
      <c r="C81">
        <v>25</v>
      </c>
      <c r="D81" t="s">
        <v>80</v>
      </c>
      <c r="E81">
        <v>5</v>
      </c>
      <c r="F81">
        <v>59.494999999999997</v>
      </c>
      <c r="G81" s="35">
        <v>3</v>
      </c>
      <c r="H81" s="38">
        <v>12</v>
      </c>
      <c r="I81">
        <f>SUM(G81:H81)</f>
        <v>15</v>
      </c>
      <c r="J81">
        <v>0.34250754843279801</v>
      </c>
      <c r="K81">
        <f>(J81*I81)*0.6</f>
        <v>3.0825679358951819</v>
      </c>
      <c r="L81">
        <v>2</v>
      </c>
      <c r="M81">
        <v>0</v>
      </c>
      <c r="N81">
        <f>K81-(L81+M81)</f>
        <v>1.0825679358951819</v>
      </c>
      <c r="O81" s="35">
        <f>I81+K81+F81</f>
        <v>77.577567935895175</v>
      </c>
      <c r="P81">
        <v>77.569999999999993</v>
      </c>
      <c r="Q81">
        <f>O81-P81</f>
        <v>7.5679358951816766E-3</v>
      </c>
      <c r="T81">
        <f>S81-R81</f>
        <v>0</v>
      </c>
      <c r="X81">
        <v>3</v>
      </c>
      <c r="Y81"/>
      <c r="Z81">
        <f>(Y81-O81)+0.25</f>
        <v>-77.327567935895175</v>
      </c>
    </row>
    <row r="82" spans="1:26" ht="15.75">
      <c r="A82">
        <v>81</v>
      </c>
      <c r="B82" t="s">
        <v>91</v>
      </c>
      <c r="C82">
        <v>25</v>
      </c>
      <c r="D82" t="s">
        <v>85</v>
      </c>
      <c r="E82">
        <v>1</v>
      </c>
      <c r="F82">
        <v>57.948999999999998</v>
      </c>
      <c r="G82" s="35">
        <v>3</v>
      </c>
      <c r="H82" s="35">
        <v>12</v>
      </c>
      <c r="I82">
        <f>SUM(G82:H82)</f>
        <v>15</v>
      </c>
      <c r="J82">
        <v>0.34250754843279801</v>
      </c>
      <c r="K82">
        <f>(J82*I82)*0.6</f>
        <v>3.0825679358951819</v>
      </c>
      <c r="L82">
        <v>0</v>
      </c>
      <c r="M82">
        <v>0</v>
      </c>
      <c r="N82">
        <f>K82-(L82+M82)</f>
        <v>3.0825679358951819</v>
      </c>
      <c r="O82" s="35">
        <f>I82+K82+F82</f>
        <v>76.031567935895183</v>
      </c>
      <c r="P82">
        <v>76</v>
      </c>
      <c r="Q82">
        <f>O82-P82</f>
        <v>3.1567935895182586E-2</v>
      </c>
      <c r="T82">
        <f>S82-R82</f>
        <v>0</v>
      </c>
      <c r="X82">
        <v>3</v>
      </c>
      <c r="Y82"/>
      <c r="Z82">
        <f>(Y82-O82)+0.25</f>
        <v>-75.781567935895183</v>
      </c>
    </row>
    <row r="83" spans="1:26" ht="15.75">
      <c r="A83">
        <v>82</v>
      </c>
      <c r="B83" t="s">
        <v>91</v>
      </c>
      <c r="C83">
        <v>25</v>
      </c>
      <c r="D83" t="s">
        <v>85</v>
      </c>
      <c r="E83">
        <v>2</v>
      </c>
      <c r="F83">
        <v>59.426000000000002</v>
      </c>
      <c r="G83" s="35">
        <v>3</v>
      </c>
      <c r="H83" s="38">
        <v>12</v>
      </c>
      <c r="I83">
        <f>SUM(G83:H83)</f>
        <v>15</v>
      </c>
      <c r="J83">
        <v>0.34250754843279801</v>
      </c>
      <c r="K83">
        <f>(J83*I83)*0.6</f>
        <v>3.0825679358951819</v>
      </c>
      <c r="L83">
        <v>0</v>
      </c>
      <c r="M83">
        <v>0</v>
      </c>
      <c r="N83">
        <f>K83-(L83+M83)</f>
        <v>3.0825679358951819</v>
      </c>
      <c r="O83" s="35">
        <f>I83+K83+F83</f>
        <v>77.508567935895186</v>
      </c>
      <c r="P83">
        <v>77.5</v>
      </c>
      <c r="Q83">
        <f>O83-P83</f>
        <v>8.5679358951864515E-3</v>
      </c>
      <c r="T83">
        <f>S83-R83</f>
        <v>0</v>
      </c>
      <c r="X83">
        <v>3</v>
      </c>
      <c r="Y83"/>
      <c r="Z83">
        <f>(Y83-O83)+0.25</f>
        <v>-77.258567935895186</v>
      </c>
    </row>
    <row r="84" spans="1:26" ht="15.75">
      <c r="A84">
        <v>83</v>
      </c>
      <c r="B84" t="s">
        <v>91</v>
      </c>
      <c r="C84">
        <v>25</v>
      </c>
      <c r="D84" t="s">
        <v>85</v>
      </c>
      <c r="E84">
        <v>3</v>
      </c>
      <c r="F84">
        <v>58.468000000000004</v>
      </c>
      <c r="G84" s="35">
        <v>3</v>
      </c>
      <c r="H84" s="35">
        <v>12</v>
      </c>
      <c r="I84">
        <f>SUM(G84:H84)</f>
        <v>15</v>
      </c>
      <c r="J84">
        <v>0.34250754843279801</v>
      </c>
      <c r="K84">
        <f>(J84*I84)*0.6</f>
        <v>3.0825679358951819</v>
      </c>
      <c r="L84">
        <v>0</v>
      </c>
      <c r="M84">
        <v>0</v>
      </c>
      <c r="N84">
        <f>K84-(L84+M84)</f>
        <v>3.0825679358951819</v>
      </c>
      <c r="O84" s="35">
        <f>I84+K84+F84</f>
        <v>76.550567935895188</v>
      </c>
      <c r="P84">
        <v>76.52</v>
      </c>
      <c r="Q84">
        <f>O84-P84</f>
        <v>3.0567935895192022E-2</v>
      </c>
      <c r="T84">
        <f>S84-R84</f>
        <v>0</v>
      </c>
      <c r="X84">
        <v>3</v>
      </c>
      <c r="Y84"/>
      <c r="Z84">
        <f>(Y84-O84)+0.25</f>
        <v>-76.300567935895188</v>
      </c>
    </row>
    <row r="85" spans="1:26" s="40" customFormat="1" ht="15.75">
      <c r="A85" s="40">
        <v>84</v>
      </c>
      <c r="B85" s="40" t="s">
        <v>91</v>
      </c>
      <c r="C85" s="40">
        <v>25</v>
      </c>
      <c r="D85" s="40" t="s">
        <v>84</v>
      </c>
      <c r="E85" s="40">
        <v>1</v>
      </c>
      <c r="F85" s="40">
        <v>59.231000000000002</v>
      </c>
      <c r="G85" s="38">
        <v>3</v>
      </c>
      <c r="H85" s="38">
        <v>12</v>
      </c>
      <c r="I85">
        <f>SUM(G85:H85)</f>
        <v>15</v>
      </c>
      <c r="J85" s="40">
        <v>0.34250754843279801</v>
      </c>
      <c r="K85" s="40">
        <f>(J85*I85)*0.6</f>
        <v>3.0825679358951819</v>
      </c>
      <c r="L85" s="40">
        <v>0</v>
      </c>
      <c r="M85" s="40">
        <v>0</v>
      </c>
      <c r="N85" s="40">
        <f>K85-(L85+M85)</f>
        <v>3.0825679358951819</v>
      </c>
      <c r="O85" s="35">
        <f>I85+K85+F85</f>
        <v>77.313567935895179</v>
      </c>
      <c r="P85" s="40">
        <v>77.34</v>
      </c>
      <c r="Q85" s="40">
        <f>O85-P85</f>
        <v>-2.6432064104824349E-2</v>
      </c>
      <c r="T85" s="40">
        <f>S85-R85</f>
        <v>0</v>
      </c>
      <c r="X85" s="40">
        <v>3</v>
      </c>
      <c r="Y85" s="35"/>
      <c r="Z85" s="40">
        <f>(Y85-O85)+0.25</f>
        <v>-77.063567935895179</v>
      </c>
    </row>
    <row r="86" spans="1:26" ht="15.75">
      <c r="A86">
        <v>85</v>
      </c>
      <c r="F86">
        <v>59.811</v>
      </c>
      <c r="Y86"/>
    </row>
    <row r="87" spans="1:26">
      <c r="A87">
        <v>86</v>
      </c>
      <c r="F87">
        <v>57.503999999999998</v>
      </c>
      <c r="Y87"/>
    </row>
    <row r="88" spans="1:26">
      <c r="A88">
        <v>87</v>
      </c>
      <c r="F88">
        <v>59.601999999999997</v>
      </c>
      <c r="Y88"/>
    </row>
    <row r="89" spans="1:26">
      <c r="A89">
        <v>88</v>
      </c>
      <c r="F89">
        <v>59.048999999999999</v>
      </c>
      <c r="Y89"/>
    </row>
    <row r="90" spans="1:26">
      <c r="A90">
        <v>89</v>
      </c>
      <c r="F90">
        <v>59.037999999999997</v>
      </c>
      <c r="Y90"/>
    </row>
    <row r="91" spans="1:26">
      <c r="A91">
        <v>90</v>
      </c>
      <c r="F91">
        <v>58.951000000000001</v>
      </c>
      <c r="Y91"/>
    </row>
    <row r="92" spans="1:26">
      <c r="A92">
        <v>91</v>
      </c>
      <c r="F92">
        <v>58.116</v>
      </c>
      <c r="Y92"/>
    </row>
    <row r="93" spans="1:26">
      <c r="A93">
        <v>92</v>
      </c>
      <c r="F93">
        <v>60.055999999999997</v>
      </c>
      <c r="Y93"/>
    </row>
    <row r="94" spans="1:26">
      <c r="A94">
        <v>93</v>
      </c>
      <c r="F94">
        <v>59.164999999999999</v>
      </c>
      <c r="Y94"/>
    </row>
    <row r="95" spans="1:26">
      <c r="A95">
        <v>94</v>
      </c>
      <c r="F95">
        <v>58.040999999999997</v>
      </c>
      <c r="Y95"/>
    </row>
    <row r="96" spans="1:26">
      <c r="A96">
        <v>95</v>
      </c>
      <c r="F96">
        <v>59.168999999999997</v>
      </c>
      <c r="Y96"/>
    </row>
    <row r="97" spans="1:25">
      <c r="A97">
        <v>96</v>
      </c>
      <c r="F97">
        <v>58.207999999999998</v>
      </c>
      <c r="Y97"/>
    </row>
    <row r="98" spans="1:25">
      <c r="A98">
        <v>97</v>
      </c>
      <c r="F98">
        <v>59.997999999999998</v>
      </c>
      <c r="Y98"/>
    </row>
    <row r="99" spans="1:25" s="40" customFormat="1" ht="15.75">
      <c r="A99" s="40">
        <v>99</v>
      </c>
      <c r="F99" s="40">
        <v>59.133000000000003</v>
      </c>
      <c r="Y99" s="38"/>
    </row>
    <row r="100" spans="1:25" ht="15.75">
      <c r="L100" t="s">
        <v>92</v>
      </c>
      <c r="M100" t="s">
        <v>92</v>
      </c>
    </row>
    <row r="101" spans="1:25">
      <c r="L101">
        <f>SUM(L2:L85)</f>
        <v>120</v>
      </c>
      <c r="M101">
        <f>SUM(M2:M85)</f>
        <v>15</v>
      </c>
    </row>
    <row r="102" spans="1:25">
      <c r="F102">
        <f>AVERAGE(F2:F99)</f>
        <v>58.675744897959156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143"/>
  <sheetViews>
    <sheetView zoomScale="83" zoomScaleNormal="83" workbookViewId="0">
      <selection activeCell="O15" sqref="O15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9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2" width="9.140625" style="1"/>
    <col min="23" max="23" width="15.7109375"/>
    <col min="27" max="256" width="9.140625" style="1"/>
    <col min="257" max="257" width="7.42578125" style="1"/>
    <col min="258" max="258" width="18.140625" style="1"/>
    <col min="259" max="259" width="9.42578125" style="1"/>
    <col min="260" max="260" width="8.85546875" style="1"/>
    <col min="261" max="261" width="6.28515625" style="1"/>
    <col min="262" max="262" width="6.5703125" style="1"/>
    <col min="263" max="267" width="4.85546875" style="1"/>
    <col min="268" max="268" width="7" style="1"/>
    <col min="269" max="271" width="8.42578125" style="1"/>
    <col min="272" max="273" width="9.140625" style="1"/>
    <col min="274" max="274" width="3.140625" style="1"/>
    <col min="275" max="512" width="9.140625" style="1"/>
    <col min="513" max="513" width="7.42578125" style="1"/>
    <col min="514" max="514" width="18.140625" style="1"/>
    <col min="515" max="515" width="9.42578125" style="1"/>
    <col min="516" max="516" width="8.85546875" style="1"/>
    <col min="517" max="517" width="6.28515625" style="1"/>
    <col min="518" max="518" width="6.5703125" style="1"/>
    <col min="519" max="523" width="4.85546875" style="1"/>
    <col min="524" max="524" width="7" style="1"/>
    <col min="525" max="527" width="8.42578125" style="1"/>
    <col min="528" max="529" width="9.140625" style="1"/>
    <col min="530" max="530" width="3.140625" style="1"/>
    <col min="531" max="768" width="9.140625" style="1"/>
    <col min="769" max="769" width="7.42578125" style="1"/>
    <col min="770" max="770" width="18.140625" style="1"/>
    <col min="771" max="771" width="9.42578125" style="1"/>
    <col min="772" max="772" width="8.85546875" style="1"/>
    <col min="773" max="773" width="6.28515625" style="1"/>
    <col min="774" max="774" width="6.5703125" style="1"/>
    <col min="775" max="779" width="4.85546875" style="1"/>
    <col min="780" max="780" width="7" style="1"/>
    <col min="781" max="783" width="8.42578125" style="1"/>
    <col min="784" max="785" width="9.140625" style="1"/>
    <col min="786" max="786" width="3.140625" style="1"/>
    <col min="787" max="1025" width="9.140625" style="1"/>
  </cols>
  <sheetData>
    <row r="1" spans="1:1024" s="2" customFormat="1" ht="15.75">
      <c r="B1" s="2" t="s">
        <v>16</v>
      </c>
      <c r="C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W1"/>
      <c r="X1"/>
      <c r="Y1"/>
      <c r="Z1"/>
    </row>
    <row r="2" spans="1:1024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24</v>
      </c>
      <c r="I2" s="4">
        <v>17</v>
      </c>
      <c r="J2" s="4">
        <v>13</v>
      </c>
      <c r="K2" s="4"/>
      <c r="L2" s="4"/>
      <c r="M2" s="4"/>
      <c r="N2" s="4"/>
      <c r="O2" s="4">
        <v>175213</v>
      </c>
      <c r="P2"/>
      <c r="Q2"/>
      <c r="R2"/>
      <c r="S2" s="1">
        <f>H2*24+I2+J2/60+K2/3600</f>
        <v>593.2166666666667</v>
      </c>
      <c r="T2"/>
      <c r="U2"/>
      <c r="V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24</v>
      </c>
      <c r="I3" s="4">
        <v>17</v>
      </c>
      <c r="J3" s="4">
        <v>14</v>
      </c>
      <c r="K3" s="4"/>
      <c r="L3" s="4"/>
      <c r="M3" s="4"/>
      <c r="N3" s="4"/>
      <c r="O3" s="4">
        <v>177598</v>
      </c>
      <c r="P3"/>
      <c r="Q3"/>
      <c r="R3"/>
      <c r="S3" s="1">
        <f>H3*24+I3+J3/60+K3/3600</f>
        <v>593.23333333333335</v>
      </c>
      <c r="T3"/>
      <c r="U3"/>
      <c r="V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24</v>
      </c>
      <c r="I4" s="4">
        <v>17</v>
      </c>
      <c r="J4" s="4">
        <v>14</v>
      </c>
      <c r="K4" s="4"/>
      <c r="L4" s="4"/>
      <c r="M4" s="4"/>
      <c r="N4" s="4"/>
      <c r="O4" s="4">
        <v>165664</v>
      </c>
      <c r="P4"/>
      <c r="Q4"/>
      <c r="R4"/>
      <c r="S4" s="1">
        <f>H4*24+I4+J4/60+K4/3600</f>
        <v>593.23333333333335</v>
      </c>
      <c r="T4"/>
      <c r="U4"/>
      <c r="V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24</v>
      </c>
      <c r="I5" s="4">
        <v>17</v>
      </c>
      <c r="J5" s="4">
        <v>15</v>
      </c>
      <c r="K5" s="4"/>
      <c r="L5" s="4"/>
      <c r="M5" s="4"/>
      <c r="N5" s="4"/>
      <c r="O5" s="4">
        <v>163066</v>
      </c>
      <c r="P5"/>
      <c r="Q5"/>
      <c r="R5"/>
      <c r="S5" s="1">
        <f>H5*24+I5+J5/60+K5/3600</f>
        <v>593.25</v>
      </c>
      <c r="T5"/>
      <c r="U5"/>
      <c r="V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  <c r="V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24</v>
      </c>
      <c r="I7" s="4">
        <v>18</v>
      </c>
      <c r="J7" s="4">
        <v>49</v>
      </c>
      <c r="K7" s="4"/>
      <c r="L7" s="4"/>
      <c r="M7" s="4"/>
      <c r="N7" s="4"/>
      <c r="O7" s="4">
        <v>164726</v>
      </c>
      <c r="P7"/>
      <c r="Q7"/>
      <c r="R7"/>
      <c r="S7" s="1">
        <f>H7*24+I7+J7/60+K7/3600</f>
        <v>594.81666666666672</v>
      </c>
      <c r="T7"/>
      <c r="U7"/>
      <c r="V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24</v>
      </c>
      <c r="I8" s="4">
        <v>18</v>
      </c>
      <c r="J8" s="4">
        <v>50</v>
      </c>
      <c r="K8" s="4"/>
      <c r="L8" s="4"/>
      <c r="M8" s="4"/>
      <c r="N8" s="4"/>
      <c r="O8" s="4">
        <v>172890</v>
      </c>
      <c r="P8"/>
      <c r="Q8"/>
      <c r="R8"/>
      <c r="S8" s="1">
        <f>H8*24+I8+J8/60+K8/3600</f>
        <v>594.83333333333337</v>
      </c>
      <c r="T8"/>
      <c r="U8"/>
      <c r="V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24</v>
      </c>
      <c r="I9" s="4">
        <v>18</v>
      </c>
      <c r="J9" s="4">
        <v>51</v>
      </c>
      <c r="K9" s="4"/>
      <c r="L9" s="4"/>
      <c r="M9" s="4"/>
      <c r="N9" s="4"/>
      <c r="O9" s="4">
        <v>170208</v>
      </c>
      <c r="P9"/>
      <c r="Q9"/>
      <c r="R9"/>
      <c r="S9" s="1">
        <f>H9*24+I9+J9/60+K9/3600</f>
        <v>594.85</v>
      </c>
      <c r="T9"/>
      <c r="U9"/>
      <c r="V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>
      <c r="A10"/>
      <c r="C10" s="1" t="s">
        <v>34</v>
      </c>
      <c r="D10" s="1" t="s">
        <v>37</v>
      </c>
      <c r="E10"/>
      <c r="F10" s="4"/>
      <c r="G10" s="4"/>
      <c r="H10" s="4"/>
      <c r="I10" s="4"/>
      <c r="J10" s="4"/>
      <c r="K10" s="4"/>
      <c r="L10" s="4"/>
      <c r="M10" s="4"/>
      <c r="N10" s="4"/>
      <c r="O10" s="4"/>
      <c r="P10"/>
      <c r="Q10"/>
      <c r="R10"/>
      <c r="S10"/>
      <c r="T10"/>
      <c r="U10"/>
      <c r="V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  <c r="V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1" customFormat="1">
      <c r="F12" s="7"/>
      <c r="G12" s="7"/>
      <c r="H12" s="7"/>
      <c r="I12" s="7"/>
      <c r="J12" s="7"/>
      <c r="K12" s="7"/>
      <c r="L12" s="4"/>
      <c r="M12" s="7"/>
      <c r="N12" s="7"/>
      <c r="O12" s="7"/>
      <c r="W12"/>
      <c r="X12"/>
      <c r="Y12"/>
      <c r="Z12"/>
    </row>
    <row r="13" spans="1:1024" s="1" customFormat="1">
      <c r="F13"/>
      <c r="G13"/>
      <c r="H13"/>
      <c r="I13"/>
      <c r="J13"/>
      <c r="K13"/>
      <c r="L13"/>
      <c r="M13"/>
      <c r="N13"/>
      <c r="O13"/>
      <c r="S13"/>
      <c r="T13"/>
      <c r="W13"/>
      <c r="X13"/>
      <c r="Y13"/>
      <c r="Z13"/>
    </row>
    <row r="14" spans="1:1024" s="1" customFormat="1">
      <c r="B14" s="1" t="s">
        <v>38</v>
      </c>
      <c r="Q14" s="1" t="s">
        <v>39</v>
      </c>
      <c r="W14"/>
      <c r="X14"/>
      <c r="Y14"/>
      <c r="Z14"/>
    </row>
    <row r="15" spans="1:1024">
      <c r="B15"/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170385.25</v>
      </c>
      <c r="P15"/>
      <c r="Q15" s="8">
        <f>F15/O15</f>
        <v>5.3097319163483932E-2</v>
      </c>
      <c r="R15"/>
      <c r="S15" s="1">
        <f>AVERAGE(S2:S6)</f>
        <v>593.23333333333335</v>
      </c>
      <c r="T15"/>
      <c r="U15"/>
      <c r="V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>
      <c r="B16"/>
      <c r="C16"/>
      <c r="D16"/>
      <c r="F16"/>
      <c r="G16"/>
      <c r="H16" s="1" t="s">
        <v>44</v>
      </c>
      <c r="I16"/>
      <c r="J16"/>
      <c r="K16"/>
      <c r="L16"/>
      <c r="M16" s="1" t="e">
        <f>AVERAGE(M7:M11)</f>
        <v>#DIV/0!</v>
      </c>
      <c r="N16" s="1" t="e">
        <f>AVERAGE(N7:N11)</f>
        <v>#DIV/0!</v>
      </c>
      <c r="O16" s="1">
        <f>AVERAGE(O7:O11)</f>
        <v>169274.66666666666</v>
      </c>
      <c r="P16"/>
      <c r="Q16" s="1">
        <f>F15/O16</f>
        <v>5.3445681968556036E-2</v>
      </c>
      <c r="R16"/>
      <c r="S16" s="1">
        <f>AVERAGE(S7:S11)</f>
        <v>594.83333333333337</v>
      </c>
      <c r="T16"/>
      <c r="U16"/>
      <c r="V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" customFormat="1" ht="15.75">
      <c r="W17"/>
      <c r="X17"/>
      <c r="Y17"/>
      <c r="Z17"/>
    </row>
    <row r="18" spans="1:1024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  <c r="V18" s="10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24</v>
      </c>
      <c r="I19" s="4">
        <v>17</v>
      </c>
      <c r="J19" s="4">
        <v>17</v>
      </c>
      <c r="K19" s="4"/>
      <c r="L19" s="4"/>
      <c r="M19" s="4"/>
      <c r="N19" s="4"/>
      <c r="O19" s="4">
        <v>21254</v>
      </c>
      <c r="Q19" s="41">
        <f>O19*$Q$15</f>
        <v>1128.5304215006875</v>
      </c>
      <c r="R19" s="14"/>
      <c r="S19" s="1">
        <f>H19*24+I19+J19/60+K19/3600</f>
        <v>593.2833333333333</v>
      </c>
      <c r="T19" s="15">
        <f>Q15+(Q16-Q15)*(S19-S15)/(S16-S15)</f>
        <v>5.3108205501142425E-2</v>
      </c>
      <c r="U19" s="16">
        <f>O19*T19</f>
        <v>1128.761799721281</v>
      </c>
      <c r="W19" s="42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>
      <c r="A20" s="17"/>
      <c r="C20">
        <v>2</v>
      </c>
      <c r="D20" s="12"/>
      <c r="E20" s="12"/>
      <c r="F20" s="4">
        <v>2013</v>
      </c>
      <c r="G20" s="4">
        <v>7</v>
      </c>
      <c r="H20" s="4">
        <v>24</v>
      </c>
      <c r="I20" s="4">
        <v>17</v>
      </c>
      <c r="J20" s="4">
        <v>18</v>
      </c>
      <c r="K20" s="4"/>
      <c r="L20" s="4"/>
      <c r="M20" s="4"/>
      <c r="N20" s="4"/>
      <c r="O20" s="4">
        <v>25712</v>
      </c>
      <c r="Q20" s="41">
        <f>O20*$Q$15</f>
        <v>1365.2382703314988</v>
      </c>
      <c r="R20" s="14"/>
      <c r="S20" s="1">
        <f>H20*24+I20+J20/60+K20/3600</f>
        <v>593.29999999999995</v>
      </c>
      <c r="T20" s="15">
        <f>Q15+(Q16-Q15)*(S20-S15)/(S16-S15)</f>
        <v>5.3111834280361925E-2</v>
      </c>
      <c r="U20" s="16">
        <f>O20*T20</f>
        <v>1365.6114830166657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>
      <c r="A21" s="17"/>
      <c r="C21">
        <v>3</v>
      </c>
      <c r="D21" s="12"/>
      <c r="E21" s="12"/>
      <c r="F21" s="4">
        <v>2013</v>
      </c>
      <c r="G21" s="4">
        <v>7</v>
      </c>
      <c r="H21" s="4">
        <v>24</v>
      </c>
      <c r="I21" s="4">
        <v>17</v>
      </c>
      <c r="J21" s="4">
        <v>19</v>
      </c>
      <c r="K21" s="4"/>
      <c r="L21" s="4"/>
      <c r="M21" s="4"/>
      <c r="N21" s="4"/>
      <c r="O21" s="4">
        <v>20458</v>
      </c>
      <c r="Q21" s="41">
        <f>O21*$Q$15</f>
        <v>1086.2649554465543</v>
      </c>
      <c r="R21" s="14"/>
      <c r="S21" s="1">
        <f>H21*24+I21+J21/60+K21/3600</f>
        <v>593.31666666666672</v>
      </c>
      <c r="T21" s="15">
        <f>Q15+(Q16-Q15)*(S21-S15)/(S16-S15)</f>
        <v>5.3115463059581446E-2</v>
      </c>
      <c r="U21" s="16">
        <f>O21*T21</f>
        <v>1086.6361432729173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1" customFormat="1" ht="13.5" customHeight="1">
      <c r="A22" s="17"/>
      <c r="B22"/>
      <c r="C22" s="1">
        <v>4</v>
      </c>
      <c r="D22" s="12"/>
      <c r="E22" s="12"/>
      <c r="F22" s="4">
        <v>2013</v>
      </c>
      <c r="G22" s="4">
        <v>7</v>
      </c>
      <c r="H22" s="4">
        <v>24</v>
      </c>
      <c r="I22" s="4">
        <v>17</v>
      </c>
      <c r="J22" s="4">
        <v>28</v>
      </c>
      <c r="K22" s="4"/>
      <c r="L22" s="4"/>
      <c r="M22" s="4"/>
      <c r="N22" s="4"/>
      <c r="O22" s="4">
        <v>21651</v>
      </c>
      <c r="Q22" s="41">
        <f>O22*$Q$15</f>
        <v>1149.6100572085907</v>
      </c>
      <c r="R22" s="14"/>
      <c r="S22" s="1">
        <f>H22*24+I22+J22/60+K22/3600</f>
        <v>593.4666666666667</v>
      </c>
      <c r="T22" s="15">
        <f>Q15+(Q16-Q15)*(S22-S15)/(S16-S15)</f>
        <v>5.3148122072556953E-2</v>
      </c>
      <c r="U22" s="16">
        <f>O22*T22</f>
        <v>1150.7099909929307</v>
      </c>
      <c r="W22"/>
      <c r="X22"/>
      <c r="Y22"/>
      <c r="Z22"/>
    </row>
    <row r="23" spans="1:1024">
      <c r="A23" s="17"/>
      <c r="C23">
        <v>5</v>
      </c>
      <c r="D23" s="12"/>
      <c r="E23" s="12"/>
      <c r="F23" s="4">
        <v>2013</v>
      </c>
      <c r="G23" s="4">
        <v>7</v>
      </c>
      <c r="H23" s="4">
        <v>24</v>
      </c>
      <c r="I23" s="4">
        <v>17</v>
      </c>
      <c r="J23" s="4">
        <v>21</v>
      </c>
      <c r="K23" s="4"/>
      <c r="L23" s="4"/>
      <c r="M23" s="4"/>
      <c r="N23" s="4"/>
      <c r="O23" s="4">
        <v>22893</v>
      </c>
      <c r="Q23" s="41">
        <f>O23*$Q$15</f>
        <v>1215.5569276096376</v>
      </c>
      <c r="R23" s="14"/>
      <c r="S23" s="1">
        <f>H23*24+I23+J23/60+K23/3600</f>
        <v>593.35</v>
      </c>
      <c r="T23" s="15">
        <f>Q15+(Q16-Q15)*(S23-S15)/(S16-S15)</f>
        <v>5.3122720618020439E-2</v>
      </c>
      <c r="U23" s="16">
        <f>O23*T23</f>
        <v>1216.1384431083418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>
      <c r="A24" s="17"/>
      <c r="C24" s="18">
        <v>6</v>
      </c>
      <c r="D24" s="12"/>
      <c r="E24" s="12"/>
      <c r="F24" s="4">
        <v>2013</v>
      </c>
      <c r="G24" s="4">
        <v>7</v>
      </c>
      <c r="H24" s="4">
        <v>24</v>
      </c>
      <c r="I24" s="4">
        <v>17</v>
      </c>
      <c r="J24" s="4">
        <v>21</v>
      </c>
      <c r="K24" s="4"/>
      <c r="L24" s="4"/>
      <c r="M24" s="4"/>
      <c r="N24" s="4"/>
      <c r="O24" s="4">
        <v>16330</v>
      </c>
      <c r="Q24" s="41">
        <f>O24*$Q$15</f>
        <v>867.07922193969262</v>
      </c>
      <c r="R24" s="14"/>
      <c r="S24" s="1">
        <f>H24*24+I24+J24/60+K24/3600</f>
        <v>593.35</v>
      </c>
      <c r="T24" s="15">
        <f>Q15+(Q16-Q15)*(S24-S15)/(S16-S15)</f>
        <v>5.3122720618020439E-2</v>
      </c>
      <c r="U24" s="16">
        <f>O24*T24</f>
        <v>867.49402769227379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13.5" customHeight="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24</v>
      </c>
      <c r="I25" s="4">
        <v>17</v>
      </c>
      <c r="J25" s="4">
        <v>22</v>
      </c>
      <c r="K25" s="4"/>
      <c r="L25" s="4"/>
      <c r="M25" s="4"/>
      <c r="N25" s="4"/>
      <c r="O25" s="4">
        <v>17274</v>
      </c>
      <c r="Q25" s="41">
        <f>O25*$Q$15</f>
        <v>917.20309123002141</v>
      </c>
      <c r="R25" s="14"/>
      <c r="S25" s="1">
        <f>H25*24+I25+J25/60+K25/3600</f>
        <v>593.36666666666667</v>
      </c>
      <c r="T25" s="15">
        <f>Q15+(Q16-Q15)*(S25-S15)/(S16-S15)</f>
        <v>5.3126349397239939E-2</v>
      </c>
      <c r="U25" s="16">
        <f>O25*T25</f>
        <v>917.70455948792267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1" customFormat="1">
      <c r="A26" s="17"/>
      <c r="C26" s="18">
        <v>8</v>
      </c>
      <c r="D26" s="12"/>
      <c r="E26" s="12"/>
      <c r="F26" s="4">
        <v>2013</v>
      </c>
      <c r="G26" s="4">
        <v>7</v>
      </c>
      <c r="H26" s="4">
        <v>24</v>
      </c>
      <c r="I26" s="4">
        <v>17</v>
      </c>
      <c r="J26" s="4">
        <v>23</v>
      </c>
      <c r="K26" s="4"/>
      <c r="L26" s="4"/>
      <c r="M26" s="4"/>
      <c r="N26" s="4"/>
      <c r="O26" s="4">
        <v>16160</v>
      </c>
      <c r="Q26" s="41">
        <f>O26*$Q$15</f>
        <v>858.05267768190038</v>
      </c>
      <c r="R26" s="14"/>
      <c r="S26" s="1">
        <f>H26*24+I26+J26/60+K26/3600</f>
        <v>593.38333333333333</v>
      </c>
      <c r="T26" s="15">
        <f>Q15+(Q16-Q15)*(S26-S15)/(S16-S15)</f>
        <v>5.3129978176459439E-2</v>
      </c>
      <c r="U26" s="16">
        <f>O26*T26</f>
        <v>858.58044733158454</v>
      </c>
      <c r="W26"/>
      <c r="X26"/>
      <c r="Y26"/>
      <c r="Z26"/>
    </row>
    <row r="27" spans="1:1024">
      <c r="A27" s="17"/>
      <c r="C27">
        <v>9</v>
      </c>
      <c r="D27" s="12"/>
      <c r="E27" s="12"/>
      <c r="F27" s="4">
        <v>2013</v>
      </c>
      <c r="G27" s="4">
        <v>7</v>
      </c>
      <c r="H27" s="4">
        <v>24</v>
      </c>
      <c r="I27" s="4">
        <v>17</v>
      </c>
      <c r="J27" s="4">
        <v>24</v>
      </c>
      <c r="K27" s="4"/>
      <c r="L27" s="4"/>
      <c r="M27" s="4"/>
      <c r="N27" s="4"/>
      <c r="O27" s="4">
        <v>16195</v>
      </c>
      <c r="Q27" s="41">
        <f>O27*$Q$15</f>
        <v>859.91108385262226</v>
      </c>
      <c r="R27" s="14"/>
      <c r="S27" s="1">
        <f>H27*24+I27+J27/60+K27/3600</f>
        <v>593.4</v>
      </c>
      <c r="T27" s="15">
        <f>Q15+(Q16-Q15)*(S27-S15)/(S16-S15)</f>
        <v>5.3133606955678932E-2</v>
      </c>
      <c r="U27" s="16">
        <f>O27*T27</f>
        <v>860.49876464722036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3.5" customHeight="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24</v>
      </c>
      <c r="I28" s="4">
        <v>17</v>
      </c>
      <c r="J28" s="4">
        <v>25</v>
      </c>
      <c r="K28" s="4"/>
      <c r="L28" s="4"/>
      <c r="M28" s="4"/>
      <c r="N28" s="4"/>
      <c r="O28" s="4">
        <v>18688</v>
      </c>
      <c r="Q28" s="41">
        <f>O28*$Q$15</f>
        <v>992.28270052718767</v>
      </c>
      <c r="R28" s="14"/>
      <c r="S28" s="1">
        <f>H28*24+I28+J28/60+K28/3600</f>
        <v>593.41666666666663</v>
      </c>
      <c r="T28" s="15">
        <f>Q15+(Q16-Q15)*(S28-S15)/(S16-S15)</f>
        <v>5.3137235734898432E-2</v>
      </c>
      <c r="U28" s="16">
        <f>O28*T28</f>
        <v>993.02866141378195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>
      <c r="A29" s="17"/>
      <c r="C29">
        <v>12</v>
      </c>
      <c r="D29" s="12"/>
      <c r="E29" s="12"/>
      <c r="F29" s="4">
        <v>2013</v>
      </c>
      <c r="G29" s="4">
        <v>7</v>
      </c>
      <c r="H29" s="4">
        <v>24</v>
      </c>
      <c r="I29" s="4">
        <v>17</v>
      </c>
      <c r="J29" s="4">
        <v>26</v>
      </c>
      <c r="K29" s="4"/>
      <c r="L29" s="4"/>
      <c r="M29" s="4"/>
      <c r="N29" s="4"/>
      <c r="O29" s="4">
        <v>18197</v>
      </c>
      <c r="Q29" s="41">
        <f>O29*$Q$15</f>
        <v>966.21191681791709</v>
      </c>
      <c r="R29" s="14"/>
      <c r="S29" s="1">
        <f>H29*24+I29+J29/60+K29/3600</f>
        <v>593.43333333333328</v>
      </c>
      <c r="T29" s="15">
        <f>Q15+(Q16-Q15)*(S29-S15)/(S16-S15)</f>
        <v>5.3140864514117932E-2</v>
      </c>
      <c r="U29" s="16">
        <f>O29*T29</f>
        <v>967.00431156340403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1" customFormat="1" ht="12.75" customHeight="1">
      <c r="A30" s="17"/>
      <c r="C30">
        <v>13</v>
      </c>
      <c r="D30" s="12"/>
      <c r="E30" s="12"/>
      <c r="F30" s="4">
        <v>2013</v>
      </c>
      <c r="G30" s="4">
        <v>7</v>
      </c>
      <c r="H30" s="4">
        <v>24</v>
      </c>
      <c r="I30" s="4">
        <v>17</v>
      </c>
      <c r="J30" s="4">
        <v>27</v>
      </c>
      <c r="K30" s="4"/>
      <c r="L30" s="4"/>
      <c r="M30" s="4"/>
      <c r="N30" s="4"/>
      <c r="O30" s="4">
        <v>15749</v>
      </c>
      <c r="Q30" s="41">
        <f>O30*$Q$15</f>
        <v>836.22967950570842</v>
      </c>
      <c r="R30" s="14"/>
      <c r="S30" s="1">
        <f>H30*24+I30+J30/60+K30/3600</f>
        <v>593.45000000000005</v>
      </c>
      <c r="T30" s="15">
        <f>Q15+(Q16-Q15)*(S30-S15)/(S16-S15)</f>
        <v>5.3144493293337453E-2</v>
      </c>
      <c r="U30" s="16">
        <f>O30*T30</f>
        <v>836.97262487677153</v>
      </c>
      <c r="W30"/>
      <c r="X30"/>
      <c r="Y30"/>
      <c r="Z30"/>
    </row>
    <row r="31" spans="1:1024" ht="13.5" customHeight="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24</v>
      </c>
      <c r="I31" s="4">
        <v>17</v>
      </c>
      <c r="J31" s="4">
        <v>30</v>
      </c>
      <c r="K31" s="4"/>
      <c r="L31" s="4"/>
      <c r="M31" s="4"/>
      <c r="N31" s="4"/>
      <c r="O31" s="4">
        <v>16325</v>
      </c>
      <c r="Q31" s="41">
        <f>O31*$Q$15</f>
        <v>866.81373534387524</v>
      </c>
      <c r="R31" s="14"/>
      <c r="S31" s="1">
        <f>H31*24+I31+J31/60+K31/3600</f>
        <v>593.5</v>
      </c>
      <c r="T31" s="15">
        <f>Q15+(Q16-Q15)*(S31-S15)/(S16-S15)</f>
        <v>5.3155379630995946E-2</v>
      </c>
      <c r="U31" s="16">
        <f>O31*T31</f>
        <v>867.76157247600884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>
      <c r="A32" s="17"/>
      <c r="C32" s="18">
        <v>85</v>
      </c>
      <c r="D32" s="12"/>
      <c r="E32" s="12"/>
      <c r="F32" s="4">
        <v>2013</v>
      </c>
      <c r="G32" s="4">
        <v>7</v>
      </c>
      <c r="H32" s="4">
        <v>24</v>
      </c>
      <c r="I32" s="4">
        <v>17</v>
      </c>
      <c r="J32" s="4">
        <v>29</v>
      </c>
      <c r="K32" s="4"/>
      <c r="L32" s="4"/>
      <c r="M32" s="4"/>
      <c r="N32" s="4"/>
      <c r="O32" s="4">
        <v>11125</v>
      </c>
      <c r="Q32" s="41">
        <f>O32*$Q$15</f>
        <v>590.70767569375869</v>
      </c>
      <c r="R32" s="14"/>
      <c r="S32" s="1">
        <f>H32*24+I32+J32/60+K32/3600</f>
        <v>593.48333333333335</v>
      </c>
      <c r="T32" s="15">
        <f>Q15+(Q16-Q15)*(S32-S15)/(S16-S15)</f>
        <v>5.3151750851776446E-2</v>
      </c>
      <c r="U32" s="16">
        <f>O32*T32</f>
        <v>591.31322822601294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>
      <c r="A33" s="17"/>
      <c r="C33" s="18">
        <v>15</v>
      </c>
      <c r="D33" s="12"/>
      <c r="E33" s="12"/>
      <c r="F33" s="4">
        <v>2013</v>
      </c>
      <c r="G33" s="4">
        <v>7</v>
      </c>
      <c r="H33" s="4">
        <v>24</v>
      </c>
      <c r="I33" s="4">
        <v>17</v>
      </c>
      <c r="J33" s="4">
        <v>31</v>
      </c>
      <c r="K33" s="4"/>
      <c r="L33" s="4"/>
      <c r="M33" s="4"/>
      <c r="N33" s="4"/>
      <c r="O33" s="4">
        <v>30637</v>
      </c>
      <c r="Q33" s="41">
        <f>O33*$Q$15</f>
        <v>1626.7425672116572</v>
      </c>
      <c r="R33" s="14"/>
      <c r="S33" s="1">
        <f>H33*24+I33+J33/60+K33/3600</f>
        <v>593.51666666666665</v>
      </c>
      <c r="T33" s="15">
        <f>Q15+(Q16-Q15)*(S33-S15)/(S16-S15)</f>
        <v>5.3159008410215446E-2</v>
      </c>
      <c r="U33" s="16">
        <f>O33*T33</f>
        <v>1628.6325406637707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3.5" customHeight="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24</v>
      </c>
      <c r="I34" s="4">
        <v>17</v>
      </c>
      <c r="J34" s="4">
        <v>32</v>
      </c>
      <c r="K34" s="4"/>
      <c r="L34" s="4"/>
      <c r="M34" s="4"/>
      <c r="N34" s="4"/>
      <c r="O34" s="4">
        <v>30864</v>
      </c>
      <c r="Q34" s="41">
        <f>O34*$Q$15</f>
        <v>1638.7956586617681</v>
      </c>
      <c r="R34" s="14"/>
      <c r="S34" s="1">
        <f>H34*24+I34+J34/60+K34/3600</f>
        <v>593.5333333333333</v>
      </c>
      <c r="T34" s="15">
        <f>Q15+(Q16-Q15)*(S34-S15)/(S16-S15)</f>
        <v>5.3162637189434939E-2</v>
      </c>
      <c r="U34" s="16">
        <f>O34*T34</f>
        <v>1640.81163421472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>
      <c r="A35" s="17"/>
      <c r="C35">
        <v>17</v>
      </c>
      <c r="D35" s="12"/>
      <c r="E35" s="12"/>
      <c r="F35" s="4">
        <v>2013</v>
      </c>
      <c r="G35" s="4">
        <v>7</v>
      </c>
      <c r="H35" s="4">
        <v>24</v>
      </c>
      <c r="I35" s="4">
        <v>17</v>
      </c>
      <c r="J35" s="4">
        <v>33</v>
      </c>
      <c r="K35" s="4"/>
      <c r="L35" s="4"/>
      <c r="M35" s="4"/>
      <c r="N35" s="4"/>
      <c r="O35" s="4">
        <v>28986</v>
      </c>
      <c r="Q35" s="41">
        <f>O35*$Q$15</f>
        <v>1539.0788932727453</v>
      </c>
      <c r="R35" s="14"/>
      <c r="S35" s="1">
        <f>H35*24+I35+J35/60+K35/3600</f>
        <v>593.54999999999995</v>
      </c>
      <c r="T35" s="15">
        <f>Q15+(Q16-Q15)*(S35-S15)/(S16-S15)</f>
        <v>5.3166265968654439E-2</v>
      </c>
      <c r="U35" s="16">
        <f>O35*T35</f>
        <v>1541.0773853674175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s="5" customFormat="1">
      <c r="A36" s="19"/>
      <c r="C36" s="18">
        <v>18</v>
      </c>
      <c r="D36" s="20"/>
      <c r="E36" s="20"/>
      <c r="F36" s="4">
        <v>2013</v>
      </c>
      <c r="G36" s="4">
        <v>7</v>
      </c>
      <c r="H36" s="4">
        <v>24</v>
      </c>
      <c r="I36" s="4">
        <v>17</v>
      </c>
      <c r="J36" s="6">
        <v>34</v>
      </c>
      <c r="K36" s="6"/>
      <c r="L36" s="6"/>
      <c r="M36" s="6"/>
      <c r="N36" s="6"/>
      <c r="O36" s="6">
        <v>33704</v>
      </c>
      <c r="Q36" s="43">
        <f>O36*$Q$15</f>
        <v>1789.5920450860624</v>
      </c>
      <c r="R36" s="22"/>
      <c r="S36" s="5">
        <f>H36*24+I36+J36/60+K36/3600</f>
        <v>593.56666666666672</v>
      </c>
      <c r="T36" s="23">
        <f>Q15+(Q16-Q15)*(S36-S15)/(S16-S15)</f>
        <v>5.3169894747873959E-2</v>
      </c>
      <c r="U36" s="24">
        <f>O36*T36</f>
        <v>1792.0381325823439</v>
      </c>
      <c r="W36" s="44"/>
      <c r="X36" s="44"/>
      <c r="Y36" s="44"/>
      <c r="Z36" s="44"/>
    </row>
    <row r="37" spans="1:1024" ht="13.5" customHeight="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24</v>
      </c>
      <c r="I37" s="4">
        <v>17</v>
      </c>
      <c r="J37" s="4">
        <v>35</v>
      </c>
      <c r="K37" s="4"/>
      <c r="L37" s="4"/>
      <c r="M37" s="4"/>
      <c r="N37" s="4"/>
      <c r="O37" s="4">
        <v>32722</v>
      </c>
      <c r="Q37" s="41">
        <f>O37*$Q$15</f>
        <v>1737.4504776675212</v>
      </c>
      <c r="R37" s="14"/>
      <c r="S37" s="1">
        <f>H37*24+I37+J37/60+K37/3600</f>
        <v>593.58333333333337</v>
      </c>
      <c r="T37" s="15">
        <f>Q15+(Q16-Q15)*(S37-S15)/(S16-S15)</f>
        <v>5.3173523527093459E-2</v>
      </c>
      <c r="U37" s="16">
        <f>O37*T37</f>
        <v>1739.9440368535522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>
      <c r="A38" s="17"/>
      <c r="C38">
        <v>20</v>
      </c>
      <c r="D38" s="12"/>
      <c r="E38" s="12"/>
      <c r="F38" s="4">
        <v>2013</v>
      </c>
      <c r="G38" s="4">
        <v>7</v>
      </c>
      <c r="H38" s="4">
        <v>24</v>
      </c>
      <c r="I38" s="4">
        <v>17</v>
      </c>
      <c r="J38" s="4">
        <v>37</v>
      </c>
      <c r="K38" s="4"/>
      <c r="L38" s="4"/>
      <c r="M38" s="4"/>
      <c r="N38" s="4"/>
      <c r="O38" s="4">
        <v>26467</v>
      </c>
      <c r="Q38" s="41">
        <f>O38*$Q$15</f>
        <v>1405.3267462999293</v>
      </c>
      <c r="R38" s="14"/>
      <c r="S38" s="1">
        <f>H38*24+I38+J38/60+K38/3600</f>
        <v>593.61666666666667</v>
      </c>
      <c r="T38" s="15">
        <f>Q15+(Q16-Q15)*(S38-S15)/(S16-S15)</f>
        <v>5.3180781085532453E-2</v>
      </c>
      <c r="U38" s="16">
        <f>O38*T38</f>
        <v>1407.5357329907874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s="5" customFormat="1">
      <c r="A39" s="19"/>
      <c r="C39" s="18">
        <v>21</v>
      </c>
      <c r="D39" s="20"/>
      <c r="E39" s="20"/>
      <c r="F39" s="4">
        <v>2013</v>
      </c>
      <c r="G39" s="4">
        <v>7</v>
      </c>
      <c r="H39" s="4">
        <v>24</v>
      </c>
      <c r="I39" s="4">
        <v>17</v>
      </c>
      <c r="J39" s="6">
        <v>38</v>
      </c>
      <c r="K39" s="6"/>
      <c r="L39" s="6"/>
      <c r="M39" s="6"/>
      <c r="N39" s="6"/>
      <c r="O39" s="6">
        <v>24160</v>
      </c>
      <c r="Q39" s="43">
        <f>O39*$Q$15</f>
        <v>1282.8312309897717</v>
      </c>
      <c r="R39" s="22"/>
      <c r="S39" s="5">
        <f>H39*24+I39+J39/60+K39/3600</f>
        <v>593.63333333333333</v>
      </c>
      <c r="T39" s="23">
        <f>Q15+(Q16-Q15)*(S39-S15)/(S16-S15)</f>
        <v>5.3184409864751953E-2</v>
      </c>
      <c r="U39" s="24">
        <f>O39*T39</f>
        <v>1284.9353423324071</v>
      </c>
      <c r="W39" s="44"/>
      <c r="X39" s="44"/>
      <c r="Y39" s="44"/>
      <c r="Z39" s="44"/>
    </row>
    <row r="40" spans="1:1024" ht="13.5" customHeight="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24</v>
      </c>
      <c r="I40" s="4">
        <v>17</v>
      </c>
      <c r="J40" s="4">
        <v>39</v>
      </c>
      <c r="K40" s="4"/>
      <c r="L40" s="4"/>
      <c r="M40" s="4"/>
      <c r="N40" s="4"/>
      <c r="O40" s="4">
        <v>23147</v>
      </c>
      <c r="Q40" s="41">
        <f>O40*$Q$15</f>
        <v>1229.0436466771625</v>
      </c>
      <c r="R40" s="14"/>
      <c r="S40" s="1">
        <f>H40*24+I40+J40/60+K40/3600</f>
        <v>593.65</v>
      </c>
      <c r="T40" s="15">
        <f>Q15+(Q16-Q15)*(S40-S15)/(S16-S15)</f>
        <v>5.3188038643971453E-2</v>
      </c>
      <c r="U40" s="16">
        <f>O40*T40</f>
        <v>1231.1435304920071</v>
      </c>
      <c r="AX40"/>
    </row>
    <row r="41" spans="1:1024">
      <c r="A41" s="17"/>
      <c r="C41">
        <v>23</v>
      </c>
      <c r="D41" s="12"/>
      <c r="E41" s="12"/>
      <c r="F41" s="4">
        <v>2013</v>
      </c>
      <c r="G41" s="4">
        <v>7</v>
      </c>
      <c r="H41" s="4">
        <v>24</v>
      </c>
      <c r="I41" s="4">
        <v>17</v>
      </c>
      <c r="J41" s="4">
        <v>40</v>
      </c>
      <c r="K41" s="4"/>
      <c r="L41" s="4"/>
      <c r="M41" s="4"/>
      <c r="N41" s="4"/>
      <c r="O41" s="4">
        <v>24509</v>
      </c>
      <c r="Q41" s="41">
        <f>O41*$Q$15</f>
        <v>1301.3621953778277</v>
      </c>
      <c r="R41" s="14"/>
      <c r="S41" s="1">
        <f>H41*24+I41+J41/60+K41/3600</f>
        <v>593.66666666666663</v>
      </c>
      <c r="T41" s="15">
        <f>Q15+(Q16-Q15)*(S41-S15)/(S16-S15)</f>
        <v>5.3191667423190946E-2</v>
      </c>
      <c r="U41" s="16">
        <f>O41*T41</f>
        <v>1303.674576874987</v>
      </c>
      <c r="AX41"/>
    </row>
    <row r="42" spans="1:1024">
      <c r="A42" s="17"/>
      <c r="C42" s="18">
        <v>24</v>
      </c>
      <c r="D42" s="12"/>
      <c r="E42" s="12"/>
      <c r="F42" s="4">
        <v>2013</v>
      </c>
      <c r="G42" s="4">
        <v>7</v>
      </c>
      <c r="H42" s="4">
        <v>24</v>
      </c>
      <c r="I42" s="4">
        <v>17</v>
      </c>
      <c r="J42" s="4">
        <v>41</v>
      </c>
      <c r="K42" s="4"/>
      <c r="L42" s="4"/>
      <c r="M42" s="4"/>
      <c r="N42" s="4"/>
      <c r="O42" s="4">
        <v>24368</v>
      </c>
      <c r="Q42" s="41">
        <f>O42*$Q$15</f>
        <v>1293.8754733757764</v>
      </c>
      <c r="R42" s="14"/>
      <c r="S42" s="1">
        <f>H42*24+I42+J42/60+K42/3600</f>
        <v>593.68333333333328</v>
      </c>
      <c r="T42" s="15">
        <f>Q15+(Q16-Q15)*(S42-S15)/(S16-S15)</f>
        <v>5.3195296202410446E-2</v>
      </c>
      <c r="U42" s="16">
        <f>O42*T42</f>
        <v>1296.2629778603377</v>
      </c>
      <c r="AX42"/>
    </row>
    <row r="43" spans="1:1024" ht="13.5" customHeight="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24</v>
      </c>
      <c r="I43" s="4">
        <v>17</v>
      </c>
      <c r="J43" s="4">
        <v>43</v>
      </c>
      <c r="K43" s="4"/>
      <c r="L43" s="4"/>
      <c r="M43" s="4"/>
      <c r="N43" s="4"/>
      <c r="O43" s="4">
        <v>30237</v>
      </c>
      <c r="Q43" s="41">
        <f>O43*$Q$15</f>
        <v>1605.5036395462637</v>
      </c>
      <c r="R43" s="14"/>
      <c r="S43" s="1">
        <f>H43*24+I43+J43/60+K43/3600</f>
        <v>593.7166666666667</v>
      </c>
      <c r="T43" s="15">
        <f>Q15+(Q16-Q15)*(S43-S15)/(S16-S15)</f>
        <v>5.3202553760849466E-2</v>
      </c>
      <c r="U43" s="16">
        <f>O43*T43</f>
        <v>1608.6856180668053</v>
      </c>
      <c r="AX43"/>
    </row>
    <row r="44" spans="1:1024">
      <c r="A44" s="11"/>
      <c r="C44">
        <v>26</v>
      </c>
      <c r="D44" s="12"/>
      <c r="E44" s="12"/>
      <c r="F44" s="4">
        <v>2013</v>
      </c>
      <c r="G44" s="4">
        <v>7</v>
      </c>
      <c r="H44" s="4">
        <v>24</v>
      </c>
      <c r="I44" s="4">
        <v>17</v>
      </c>
      <c r="J44" s="4">
        <v>42</v>
      </c>
      <c r="K44" s="4"/>
      <c r="L44" s="4"/>
      <c r="M44" s="4"/>
      <c r="N44" s="4"/>
      <c r="O44" s="4">
        <v>25862</v>
      </c>
      <c r="Q44" s="41">
        <f>O44*$Q$15</f>
        <v>1373.2028682060215</v>
      </c>
      <c r="R44" s="14"/>
      <c r="S44" s="1">
        <f>H44*24+I44+J44/60+K44/3600</f>
        <v>593.70000000000005</v>
      </c>
      <c r="T44" s="15">
        <f>Q15+(Q16-Q15)*(S44-S15)/(S16-S15)</f>
        <v>5.3198924981629966E-2</v>
      </c>
      <c r="U44" s="16">
        <f>O44*T44</f>
        <v>1375.8305978749142</v>
      </c>
      <c r="AX44"/>
    </row>
    <row r="45" spans="1:1024">
      <c r="A45" s="17"/>
      <c r="C45" s="18">
        <v>27</v>
      </c>
      <c r="D45" s="12"/>
      <c r="E45" s="12"/>
      <c r="F45" s="4">
        <v>2013</v>
      </c>
      <c r="G45" s="4">
        <v>7</v>
      </c>
      <c r="H45" s="4">
        <v>24</v>
      </c>
      <c r="I45" s="4">
        <v>17</v>
      </c>
      <c r="J45" s="4">
        <v>44</v>
      </c>
      <c r="K45" s="4"/>
      <c r="L45" s="4"/>
      <c r="M45" s="4"/>
      <c r="N45" s="4"/>
      <c r="O45" s="4">
        <v>31542</v>
      </c>
      <c r="Q45" s="41">
        <f>O45*$Q$15</f>
        <v>1674.7956410546101</v>
      </c>
      <c r="R45" s="14"/>
      <c r="S45" s="1">
        <f>H45*24+I45+J45/60+K45/3600</f>
        <v>593.73333333333335</v>
      </c>
      <c r="T45" s="15">
        <f>Q15+(Q16-Q15)*(S45-S15)/(S16-S15)</f>
        <v>5.3206182540068959E-2</v>
      </c>
      <c r="U45" s="16">
        <f>O45*T45</f>
        <v>1678.2294096788551</v>
      </c>
      <c r="AX45"/>
    </row>
    <row r="46" spans="1:1024" ht="13.5" customHeight="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24</v>
      </c>
      <c r="I46" s="4">
        <v>17</v>
      </c>
      <c r="J46" s="4">
        <v>45</v>
      </c>
      <c r="K46" s="4"/>
      <c r="L46" s="4"/>
      <c r="M46" s="4"/>
      <c r="N46" s="4"/>
      <c r="O46" s="4">
        <v>22262</v>
      </c>
      <c r="Q46" s="41">
        <f>O46*$Q$15</f>
        <v>1182.0525192174794</v>
      </c>
      <c r="R46" s="14"/>
      <c r="S46" s="1">
        <f>H46*24+I46+J46/60+K46/3600</f>
        <v>593.75</v>
      </c>
      <c r="T46" s="15">
        <f>Q15+(Q16-Q15)*(S46-S15)/(S16-S15)</f>
        <v>5.3209811319288459E-2</v>
      </c>
      <c r="U46" s="16">
        <f>O46*T46</f>
        <v>1184.5568195899996</v>
      </c>
      <c r="AX46"/>
    </row>
    <row r="47" spans="1:1024">
      <c r="A47" s="17"/>
      <c r="C47">
        <v>29</v>
      </c>
      <c r="D47" s="12"/>
      <c r="E47" s="12"/>
      <c r="F47" s="4">
        <v>2013</v>
      </c>
      <c r="G47" s="4">
        <v>7</v>
      </c>
      <c r="H47" s="4">
        <v>24</v>
      </c>
      <c r="I47" s="4">
        <v>17</v>
      </c>
      <c r="J47" s="4">
        <v>46</v>
      </c>
      <c r="K47" s="4"/>
      <c r="L47" s="4"/>
      <c r="M47" s="4"/>
      <c r="N47" s="4"/>
      <c r="O47" s="4">
        <v>28902</v>
      </c>
      <c r="Q47" s="41">
        <f>O47*$Q$15</f>
        <v>1534.6187184630126</v>
      </c>
      <c r="R47" s="14"/>
      <c r="S47" s="1">
        <f>H47*24+I47+J47/60+K47/3600</f>
        <v>593.76666666666665</v>
      </c>
      <c r="T47" s="15">
        <f>Q15+(Q16-Q15)*(S47-S15)/(S16-S15)</f>
        <v>5.3213440098507959E-2</v>
      </c>
      <c r="U47" s="16">
        <f>O47*T47</f>
        <v>1537.9748457270771</v>
      </c>
      <c r="AX47"/>
    </row>
    <row r="48" spans="1:1024">
      <c r="A48" s="17"/>
      <c r="C48" s="18">
        <v>30</v>
      </c>
      <c r="D48" s="12"/>
      <c r="E48" s="12"/>
      <c r="F48" s="4">
        <v>2013</v>
      </c>
      <c r="G48" s="4">
        <v>7</v>
      </c>
      <c r="H48" s="4">
        <v>24</v>
      </c>
      <c r="I48" s="4">
        <v>17</v>
      </c>
      <c r="J48" s="4">
        <v>47</v>
      </c>
      <c r="K48" s="4"/>
      <c r="L48" s="4"/>
      <c r="M48" s="4"/>
      <c r="N48" s="4"/>
      <c r="O48" s="4">
        <v>30000</v>
      </c>
      <c r="Q48" s="41">
        <f>O48*$Q$15</f>
        <v>1592.919574904518</v>
      </c>
      <c r="R48" s="14"/>
      <c r="S48" s="1">
        <f>H48*24+I48+J48/60+K48/3600</f>
        <v>593.7833333333333</v>
      </c>
      <c r="T48" s="15">
        <f>Q15+(Q16-Q15)*(S48-S15)/(S16-S15)</f>
        <v>5.3217068877727453E-2</v>
      </c>
      <c r="U48" s="16">
        <f>O48*T48</f>
        <v>1596.5120663318237</v>
      </c>
      <c r="AX48"/>
    </row>
    <row r="49" spans="1:50" ht="13.5" customHeight="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24</v>
      </c>
      <c r="I49" s="4">
        <v>17</v>
      </c>
      <c r="J49" s="4">
        <v>49</v>
      </c>
      <c r="K49" s="4"/>
      <c r="L49" s="4"/>
      <c r="M49" s="4"/>
      <c r="N49" s="4"/>
      <c r="O49" s="4">
        <v>29504</v>
      </c>
      <c r="Q49" s="41">
        <f>O49*$Q$15</f>
        <v>1566.58330459943</v>
      </c>
      <c r="R49" s="14"/>
      <c r="S49" s="1">
        <f>H49*24+I49+J49/60+K49/3600</f>
        <v>593.81666666666672</v>
      </c>
      <c r="T49" s="15">
        <f>Q15+(Q16-Q15)*(S49-S15)/(S16-S15)</f>
        <v>5.3224326436166473E-2</v>
      </c>
      <c r="U49" s="16">
        <f>O49*T49</f>
        <v>1570.3305271726556</v>
      </c>
      <c r="AX49"/>
    </row>
    <row r="50" spans="1:50">
      <c r="A50" s="17"/>
      <c r="C50">
        <v>32</v>
      </c>
      <c r="D50" s="12"/>
      <c r="E50" s="12"/>
      <c r="F50" s="4">
        <v>2013</v>
      </c>
      <c r="G50" s="4">
        <v>7</v>
      </c>
      <c r="H50" s="4">
        <v>24</v>
      </c>
      <c r="I50" s="4">
        <v>17</v>
      </c>
      <c r="J50" s="4">
        <v>48</v>
      </c>
      <c r="K50" s="4"/>
      <c r="L50" s="4"/>
      <c r="M50" s="4"/>
      <c r="N50" s="4"/>
      <c r="O50" s="4">
        <v>29094</v>
      </c>
      <c r="Q50" s="41">
        <f>O50*$Q$15</f>
        <v>1544.8134037424015</v>
      </c>
      <c r="R50" s="14"/>
      <c r="S50" s="1">
        <f>H50*24+I50+J50/60+K50/3600</f>
        <v>593.79999999999995</v>
      </c>
      <c r="T50" s="15">
        <f>Q15+(Q16-Q15)*(S50-S15)/(S16-S15)</f>
        <v>5.3220697656946953E-2</v>
      </c>
      <c r="U50" s="16">
        <f>O50*T50</f>
        <v>1548.4029776312145</v>
      </c>
      <c r="AX50"/>
    </row>
    <row r="51" spans="1:50" ht="15" customHeight="1">
      <c r="A51" s="17"/>
      <c r="C51" s="18">
        <v>33</v>
      </c>
      <c r="D51" s="12"/>
      <c r="E51" s="12"/>
      <c r="F51" s="4">
        <v>2013</v>
      </c>
      <c r="G51" s="4">
        <v>7</v>
      </c>
      <c r="H51" s="4">
        <v>24</v>
      </c>
      <c r="I51" s="4">
        <v>17</v>
      </c>
      <c r="J51" s="4">
        <v>50</v>
      </c>
      <c r="K51" s="4"/>
      <c r="L51" s="4"/>
      <c r="M51" s="4"/>
      <c r="N51" s="4"/>
      <c r="O51" s="4">
        <v>28912</v>
      </c>
      <c r="Q51" s="41">
        <f>O51*$Q$15</f>
        <v>1535.1496916546475</v>
      </c>
      <c r="R51" s="14"/>
      <c r="S51" s="1">
        <f>H51*24+I51+J51/60+K51/3600</f>
        <v>593.83333333333337</v>
      </c>
      <c r="T51" s="15">
        <f>Q15+(Q16-Q15)*(S51-S15)/(S16-S15)</f>
        <v>5.3227955215385973E-2</v>
      </c>
      <c r="U51" s="16">
        <f>O51*T51</f>
        <v>1538.9266411872393</v>
      </c>
      <c r="AX51"/>
    </row>
    <row r="52" spans="1:50" ht="13.5" customHeight="1">
      <c r="A52" s="25"/>
      <c r="C52" s="18">
        <v>34</v>
      </c>
      <c r="D52" s="12"/>
      <c r="E52" s="12"/>
      <c r="F52" s="4">
        <v>2013</v>
      </c>
      <c r="G52" s="4">
        <v>7</v>
      </c>
      <c r="H52" s="4">
        <v>24</v>
      </c>
      <c r="I52" s="4">
        <v>17</v>
      </c>
      <c r="J52" s="4">
        <v>51</v>
      </c>
      <c r="K52" s="4"/>
      <c r="L52" s="4"/>
      <c r="M52" s="4"/>
      <c r="N52" s="4"/>
      <c r="O52" s="4">
        <v>23114</v>
      </c>
      <c r="Q52" s="41">
        <f>O52*$Q$15</f>
        <v>1227.2914351447675</v>
      </c>
      <c r="R52" s="14"/>
      <c r="S52" s="1">
        <f>H52*24+I52+J52/60+K52/3600</f>
        <v>593.85</v>
      </c>
      <c r="T52" s="15">
        <f>Q15+(Q16-Q15)*(S52-S15)/(S16-S15)</f>
        <v>5.3231583994605473E-2</v>
      </c>
      <c r="U52" s="16">
        <f>O52*T52</f>
        <v>1230.394832451311</v>
      </c>
      <c r="AX52"/>
    </row>
    <row r="53" spans="1:50">
      <c r="A53" s="17"/>
      <c r="C53">
        <v>35</v>
      </c>
      <c r="D53" s="12"/>
      <c r="E53" s="12"/>
      <c r="F53" s="4">
        <v>2013</v>
      </c>
      <c r="G53" s="4">
        <v>7</v>
      </c>
      <c r="H53" s="4">
        <v>24</v>
      </c>
      <c r="I53" s="4">
        <v>17</v>
      </c>
      <c r="J53" s="4">
        <v>52</v>
      </c>
      <c r="K53" s="4"/>
      <c r="L53" s="4"/>
      <c r="M53" s="4"/>
      <c r="N53" s="4"/>
      <c r="O53" s="4">
        <v>22691</v>
      </c>
      <c r="Q53" s="41">
        <f>O53*$Q$15</f>
        <v>1204.8312691386138</v>
      </c>
      <c r="R53" s="14"/>
      <c r="S53" s="1">
        <f>H53*24+I53+J53/60+K53/3600</f>
        <v>593.86666666666667</v>
      </c>
      <c r="T53" s="15">
        <f>Q15+(Q16-Q15)*(S53-S15)/(S16-S15)</f>
        <v>5.3235212773824966E-2</v>
      </c>
      <c r="U53" s="16">
        <f>O53*T53</f>
        <v>1207.9602130508624</v>
      </c>
      <c r="AX53"/>
    </row>
    <row r="54" spans="1:50">
      <c r="A54" s="11"/>
      <c r="C54" s="18">
        <v>36</v>
      </c>
      <c r="D54" s="12"/>
      <c r="E54" s="12"/>
      <c r="F54" s="4">
        <v>2013</v>
      </c>
      <c r="G54" s="4">
        <v>7</v>
      </c>
      <c r="H54" s="4">
        <v>24</v>
      </c>
      <c r="I54" s="4">
        <v>17</v>
      </c>
      <c r="J54" s="4">
        <v>53</v>
      </c>
      <c r="K54" s="4"/>
      <c r="L54" s="4"/>
      <c r="M54" s="4"/>
      <c r="N54" s="4"/>
      <c r="O54" s="4">
        <v>22302</v>
      </c>
      <c r="Q54" s="41">
        <f>O54*$Q$15</f>
        <v>1184.1764119840186</v>
      </c>
      <c r="R54" s="14"/>
      <c r="S54" s="1">
        <f>H54*24+I54+J54/60+K54/3600</f>
        <v>593.88333333333333</v>
      </c>
      <c r="T54" s="15">
        <f>Q15+(Q16-Q15)*(S54-S15)/(S16-S15)</f>
        <v>5.3238841553044466E-2</v>
      </c>
      <c r="U54" s="16">
        <f>O54*T54</f>
        <v>1187.3326443159976</v>
      </c>
      <c r="AX54"/>
    </row>
    <row r="55" spans="1:50">
      <c r="A55"/>
      <c r="C55" s="18">
        <v>37</v>
      </c>
      <c r="D55" s="12"/>
      <c r="E55" s="12"/>
      <c r="F55" s="4">
        <v>2013</v>
      </c>
      <c r="G55" s="4">
        <v>7</v>
      </c>
      <c r="H55" s="4">
        <v>24</v>
      </c>
      <c r="I55" s="4">
        <v>17</v>
      </c>
      <c r="J55" s="4">
        <v>54</v>
      </c>
      <c r="K55" s="4"/>
      <c r="L55" s="4"/>
      <c r="M55" s="4"/>
      <c r="N55" s="4"/>
      <c r="O55" s="4">
        <v>22563</v>
      </c>
      <c r="Q55" s="41">
        <f>O55*$Q$15</f>
        <v>1198.0348122856878</v>
      </c>
      <c r="R55" s="14"/>
      <c r="S55" s="1">
        <f>H55*24+I55+J55/60+K55/3600</f>
        <v>593.9</v>
      </c>
      <c r="T55" s="15">
        <f>Q15+(Q16-Q15)*(S55-S15)/(S16-S15)</f>
        <v>5.3242470332263966E-2</v>
      </c>
      <c r="U55" s="16">
        <f>O55*T55</f>
        <v>1201.3098581068718</v>
      </c>
      <c r="W55" s="1"/>
      <c r="X55" s="1"/>
      <c r="Y55" s="1"/>
      <c r="Z55" s="1"/>
      <c r="AX55"/>
    </row>
    <row r="56" spans="1:50">
      <c r="A56"/>
      <c r="C56">
        <v>38</v>
      </c>
      <c r="D56" s="12"/>
      <c r="E56" s="12"/>
      <c r="F56" s="4">
        <v>2013</v>
      </c>
      <c r="G56" s="4">
        <v>7</v>
      </c>
      <c r="H56" s="4">
        <v>24</v>
      </c>
      <c r="I56" s="4">
        <v>17</v>
      </c>
      <c r="J56" s="4">
        <v>55</v>
      </c>
      <c r="K56" s="4"/>
      <c r="L56" s="4"/>
      <c r="M56" s="4"/>
      <c r="N56" s="4"/>
      <c r="O56" s="4">
        <v>23896</v>
      </c>
      <c r="Q56" s="41">
        <f>O56*$Q$15</f>
        <v>1268.813538730612</v>
      </c>
      <c r="R56" s="14"/>
      <c r="S56" s="1">
        <f>H56*24+I56+J56/60+K56/3600</f>
        <v>593.91666666666663</v>
      </c>
      <c r="T56" s="15">
        <f>Q15+(Q16-Q15)*(S56-S15)/(S16-S15)</f>
        <v>5.3246099111483459E-2</v>
      </c>
      <c r="U56" s="16">
        <f>O56*T56</f>
        <v>1272.3687843680088</v>
      </c>
      <c r="W56" s="1"/>
      <c r="X56" s="1"/>
      <c r="Y56" s="1"/>
      <c r="Z56" s="1"/>
      <c r="AX56"/>
    </row>
    <row r="57" spans="1:50">
      <c r="A57"/>
      <c r="C57" s="18">
        <v>39</v>
      </c>
      <c r="D57" s="12"/>
      <c r="E57" s="12"/>
      <c r="F57" s="4">
        <v>2013</v>
      </c>
      <c r="G57" s="4">
        <v>7</v>
      </c>
      <c r="H57" s="4">
        <v>24</v>
      </c>
      <c r="I57" s="4">
        <v>17</v>
      </c>
      <c r="J57" s="4">
        <v>55</v>
      </c>
      <c r="K57" s="4"/>
      <c r="L57" s="4"/>
      <c r="M57" s="4"/>
      <c r="N57" s="4"/>
      <c r="O57" s="4">
        <v>41514</v>
      </c>
      <c r="Q57" s="41">
        <f>O57*$Q$15</f>
        <v>2204.282107752872</v>
      </c>
      <c r="R57" s="14"/>
      <c r="S57" s="1">
        <f>H57*24+I57+J57/60+K57/3600</f>
        <v>593.91666666666663</v>
      </c>
      <c r="T57" s="15">
        <f>Q15+(Q16-Q15)*(S57-S15)/(S16-S15)</f>
        <v>5.3246099111483459E-2</v>
      </c>
      <c r="U57" s="16">
        <f>O57*T57</f>
        <v>2210.4585585141244</v>
      </c>
      <c r="W57" s="1"/>
      <c r="X57" s="1"/>
      <c r="Y57" s="1"/>
      <c r="Z57" s="1"/>
      <c r="AX57"/>
    </row>
    <row r="58" spans="1:50" s="1" customFormat="1">
      <c r="A58"/>
      <c r="C58" s="18">
        <v>40</v>
      </c>
      <c r="D58" s="12"/>
      <c r="E58" s="12"/>
      <c r="F58" s="4">
        <v>2013</v>
      </c>
      <c r="G58" s="4">
        <v>7</v>
      </c>
      <c r="H58" s="4">
        <v>24</v>
      </c>
      <c r="I58" s="4">
        <v>17</v>
      </c>
      <c r="J58" s="4">
        <v>55</v>
      </c>
      <c r="K58" s="4"/>
      <c r="L58" s="4"/>
      <c r="M58" s="4"/>
      <c r="N58" s="4"/>
      <c r="O58" s="4">
        <v>35934</v>
      </c>
      <c r="Q58" s="41">
        <f>O58*$Q$15</f>
        <v>1907.9990668206317</v>
      </c>
      <c r="R58" s="14"/>
      <c r="S58" s="1">
        <f>H58*24+I58+J58/60+K58/3600</f>
        <v>593.91666666666663</v>
      </c>
      <c r="T58" s="15">
        <f>Q15+(Q16-Q15)*(S58-S15)/(S16-S15)</f>
        <v>5.3246099111483459E-2</v>
      </c>
      <c r="U58" s="16">
        <f>O58*T58</f>
        <v>1913.3453254720466</v>
      </c>
      <c r="AX58"/>
    </row>
    <row r="59" spans="1:50" s="1" customFormat="1">
      <c r="A59"/>
      <c r="C59">
        <v>41</v>
      </c>
      <c r="D59" s="12"/>
      <c r="E59" s="12"/>
      <c r="F59" s="4">
        <v>2013</v>
      </c>
      <c r="G59" s="4">
        <v>7</v>
      </c>
      <c r="H59" s="4">
        <v>24</v>
      </c>
      <c r="I59" s="4">
        <v>17</v>
      </c>
      <c r="J59" s="4">
        <v>56</v>
      </c>
      <c r="K59" s="4"/>
      <c r="L59" s="4"/>
      <c r="M59" s="4"/>
      <c r="N59" s="4"/>
      <c r="O59" s="4">
        <v>31074</v>
      </c>
      <c r="Q59" s="41">
        <f>O59*$Q$15</f>
        <v>1649.9460956860996</v>
      </c>
      <c r="R59" s="14"/>
      <c r="S59" s="1">
        <f>H59*24+I59+J59/60+K59/3600</f>
        <v>593.93333333333328</v>
      </c>
      <c r="T59" s="15">
        <f>Q15+(Q16-Q15)*(S59-S15)/(S16-S15)</f>
        <v>5.3249727890702959E-2</v>
      </c>
      <c r="U59" s="16">
        <f>O59*T59</f>
        <v>1654.6820444757038</v>
      </c>
      <c r="AX59"/>
    </row>
    <row r="60" spans="1:50" s="1" customFormat="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>
        <v>24</v>
      </c>
      <c r="I60" s="4">
        <v>17</v>
      </c>
      <c r="J60" s="4">
        <v>59</v>
      </c>
      <c r="K60" s="4"/>
      <c r="L60" s="4"/>
      <c r="M60" s="4"/>
      <c r="N60" s="4"/>
      <c r="O60" s="4">
        <v>35728</v>
      </c>
      <c r="Q60" s="41">
        <f>O60*$Q$15</f>
        <v>1897.061019072954</v>
      </c>
      <c r="R60" s="14"/>
      <c r="S60" s="1">
        <f>H60*24+I60+J60/60+K60/3600</f>
        <v>593.98333333333335</v>
      </c>
      <c r="T60" s="15">
        <f>Q15+(Q16-Q15)*(S60-S15)/(S16-S15)</f>
        <v>5.326061422836148E-2</v>
      </c>
      <c r="U60" s="16">
        <f>O60*T60</f>
        <v>1902.895225150899</v>
      </c>
      <c r="AX60" s="4">
        <v>21254</v>
      </c>
    </row>
    <row r="61" spans="1:50" s="1" customFormat="1">
      <c r="A61"/>
      <c r="C61" s="18">
        <v>43</v>
      </c>
      <c r="D61" s="12"/>
      <c r="E61" s="12"/>
      <c r="F61" s="4">
        <v>2013</v>
      </c>
      <c r="G61" s="4">
        <v>7</v>
      </c>
      <c r="H61" s="4">
        <v>24</v>
      </c>
      <c r="I61" s="4">
        <v>18</v>
      </c>
      <c r="J61" s="4">
        <v>1</v>
      </c>
      <c r="K61" s="4"/>
      <c r="L61" s="4"/>
      <c r="M61" s="4"/>
      <c r="N61" s="4"/>
      <c r="O61" s="4">
        <v>35933</v>
      </c>
      <c r="Q61" s="41">
        <f>O61*$Q$15</f>
        <v>1907.9459695014682</v>
      </c>
      <c r="R61" s="14"/>
      <c r="S61" s="1">
        <f>H61*24+I61+J61/60+K61/3600</f>
        <v>594.01666666666665</v>
      </c>
      <c r="T61" s="15">
        <f>Q15+(Q16-Q15)*(S61-S15)/(S16-S15)</f>
        <v>5.3267871786800473E-2</v>
      </c>
      <c r="U61" s="16">
        <f>O61*T61</f>
        <v>1914.0744369151014</v>
      </c>
      <c r="AX61" s="4">
        <v>25712</v>
      </c>
    </row>
    <row r="62" spans="1:50" s="1" customFormat="1">
      <c r="A62"/>
      <c r="C62">
        <v>44</v>
      </c>
      <c r="D62" s="12"/>
      <c r="E62" s="12"/>
      <c r="F62" s="4">
        <v>2013</v>
      </c>
      <c r="G62" s="4">
        <v>7</v>
      </c>
      <c r="H62" s="4">
        <v>24</v>
      </c>
      <c r="I62" s="4">
        <v>18</v>
      </c>
      <c r="J62" s="4">
        <v>2</v>
      </c>
      <c r="K62" s="4"/>
      <c r="L62" s="4"/>
      <c r="M62" s="4"/>
      <c r="N62" s="4"/>
      <c r="O62" s="4">
        <v>44237</v>
      </c>
      <c r="Q62" s="41">
        <f>O62*$Q$15</f>
        <v>2348.8661078350387</v>
      </c>
      <c r="R62" s="14"/>
      <c r="S62" s="1">
        <f>H62*24+I62+J62/60+K62/3600</f>
        <v>594.0333333333333</v>
      </c>
      <c r="T62" s="15">
        <f>Q15+(Q16-Q15)*(S62-S15)/(S16-S15)</f>
        <v>5.3271500566019973E-2</v>
      </c>
      <c r="U62" s="16">
        <f>O62*T62</f>
        <v>2356.5713705390253</v>
      </c>
      <c r="AX62" s="4">
        <v>20458</v>
      </c>
    </row>
    <row r="63" spans="1:50" s="1" customFormat="1">
      <c r="C63" s="18">
        <v>45</v>
      </c>
      <c r="D63" s="12"/>
      <c r="E63" s="12"/>
      <c r="F63" s="4">
        <v>2013</v>
      </c>
      <c r="G63" s="4">
        <v>7</v>
      </c>
      <c r="H63" s="4">
        <v>24</v>
      </c>
      <c r="I63" s="4">
        <v>18</v>
      </c>
      <c r="J63" s="4">
        <v>3</v>
      </c>
      <c r="K63" s="4"/>
      <c r="L63" s="4"/>
      <c r="M63" s="4"/>
      <c r="N63" s="4"/>
      <c r="O63" s="4">
        <v>34944</v>
      </c>
      <c r="Q63" s="41">
        <f>O63*$Q$15</f>
        <v>1855.4327208487825</v>
      </c>
      <c r="R63" s="14"/>
      <c r="S63" s="1">
        <f>H63*24+I63+J63/60+K63/3600</f>
        <v>594.04999999999995</v>
      </c>
      <c r="T63" s="15">
        <f>Q15+(Q16-Q15)*(S63-S15)/(S16-S15)</f>
        <v>5.3275129345239466E-2</v>
      </c>
      <c r="U63" s="16">
        <f>O63*T63</f>
        <v>1861.646119840048</v>
      </c>
      <c r="AX63" s="4">
        <v>21651</v>
      </c>
    </row>
    <row r="64" spans="1:50" s="1" customFormat="1">
      <c r="A64"/>
      <c r="C64" s="18">
        <v>46</v>
      </c>
      <c r="D64" s="12"/>
      <c r="E64" s="12"/>
      <c r="F64" s="4">
        <v>2013</v>
      </c>
      <c r="G64" s="4">
        <v>7</v>
      </c>
      <c r="H64" s="4">
        <v>24</v>
      </c>
      <c r="I64" s="4">
        <v>18</v>
      </c>
      <c r="J64" s="4">
        <v>4</v>
      </c>
      <c r="K64" s="4"/>
      <c r="L64" s="4"/>
      <c r="M64" s="4"/>
      <c r="N64" s="4"/>
      <c r="O64" s="4">
        <v>25669</v>
      </c>
      <c r="Q64" s="41">
        <f>O64*$Q$15</f>
        <v>1362.9550856074691</v>
      </c>
      <c r="R64" s="14"/>
      <c r="S64" s="1">
        <f>H64*24+I64+J64/60+K64/3600</f>
        <v>594.06666666666672</v>
      </c>
      <c r="T64" s="15">
        <f>Q15+(Q16-Q15)*(S64-S15)/(S16-S15)</f>
        <v>5.3278758124458994E-2</v>
      </c>
      <c r="U64" s="16">
        <f>O64*T64</f>
        <v>1367.612442296738</v>
      </c>
      <c r="AX64" s="4">
        <v>22893</v>
      </c>
    </row>
    <row r="65" spans="1:50" s="1" customFormat="1">
      <c r="A65"/>
      <c r="C65">
        <v>47</v>
      </c>
      <c r="D65" s="12"/>
      <c r="E65" s="12"/>
      <c r="F65" s="4">
        <v>2013</v>
      </c>
      <c r="G65" s="4">
        <v>7</v>
      </c>
      <c r="H65" s="4">
        <v>24</v>
      </c>
      <c r="I65" s="4">
        <v>18</v>
      </c>
      <c r="J65" s="4">
        <v>5</v>
      </c>
      <c r="K65" s="4"/>
      <c r="L65" s="4"/>
      <c r="M65" s="4"/>
      <c r="N65" s="4"/>
      <c r="O65" s="4">
        <v>30221</v>
      </c>
      <c r="Q65" s="41">
        <f>O65*$Q$15</f>
        <v>1604.6540824396479</v>
      </c>
      <c r="R65" s="14"/>
      <c r="S65" s="1">
        <f>H65*24+I65+J65/60+K65/3600</f>
        <v>594.08333333333337</v>
      </c>
      <c r="T65" s="15">
        <f>Q15+(Q16-Q15)*(S65-S15)/(S16-S15)</f>
        <v>5.3282386903678487E-2</v>
      </c>
      <c r="U65" s="16">
        <f>O65*T65</f>
        <v>1610.2470146160676</v>
      </c>
      <c r="AX65" s="4">
        <v>16330</v>
      </c>
    </row>
    <row r="66" spans="1:50" s="1" customFormat="1">
      <c r="C66" s="18">
        <v>48</v>
      </c>
      <c r="D66" s="12"/>
      <c r="E66" s="12"/>
      <c r="F66" s="4">
        <v>2013</v>
      </c>
      <c r="G66" s="4">
        <v>7</v>
      </c>
      <c r="H66" s="4">
        <v>24</v>
      </c>
      <c r="I66" s="4">
        <v>18</v>
      </c>
      <c r="J66" s="4">
        <v>6</v>
      </c>
      <c r="K66" s="4"/>
      <c r="L66" s="4"/>
      <c r="M66" s="4"/>
      <c r="N66" s="4"/>
      <c r="O66" s="4">
        <v>30658</v>
      </c>
      <c r="Q66" s="41">
        <f>O66*$Q$15</f>
        <v>1627.8576109140904</v>
      </c>
      <c r="R66" s="14"/>
      <c r="S66" s="1">
        <f>H66*24+I66+J66/60+K66/3600</f>
        <v>594.1</v>
      </c>
      <c r="T66" s="15">
        <f>Q15+(Q16-Q15)*(S66-S15)/(S16-S15)</f>
        <v>5.3286015682897987E-2</v>
      </c>
      <c r="U66" s="16">
        <f>O66*T66</f>
        <v>1633.6426688062866</v>
      </c>
      <c r="AX66" s="4">
        <v>17274</v>
      </c>
    </row>
    <row r="67" spans="1:50" s="1" customFormat="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24</v>
      </c>
      <c r="I67" s="4">
        <v>18</v>
      </c>
      <c r="J67" s="4">
        <v>7</v>
      </c>
      <c r="K67" s="4"/>
      <c r="L67" s="4"/>
      <c r="M67" s="4"/>
      <c r="N67" s="4"/>
      <c r="O67" s="4">
        <v>38122</v>
      </c>
      <c r="Q67" s="41">
        <f>O67*$Q$15</f>
        <v>2024.1760011503345</v>
      </c>
      <c r="R67" s="14"/>
      <c r="S67" s="1">
        <f>H67*24+I67+J67/60+K67/3600</f>
        <v>594.11666666666667</v>
      </c>
      <c r="T67" s="15">
        <f>Q15+(Q16-Q15)*(S67-S15)/(S16-S15)</f>
        <v>5.3289644462117487E-2</v>
      </c>
      <c r="U67" s="16">
        <f>O67*T67</f>
        <v>2031.5078261848428</v>
      </c>
      <c r="AX67" s="4">
        <v>16160</v>
      </c>
    </row>
    <row r="68" spans="1:50" s="1" customFormat="1">
      <c r="A68"/>
      <c r="C68">
        <v>50</v>
      </c>
      <c r="D68" s="12"/>
      <c r="E68" s="12"/>
      <c r="F68" s="4">
        <v>2013</v>
      </c>
      <c r="G68" s="4">
        <v>7</v>
      </c>
      <c r="H68" s="4">
        <v>24</v>
      </c>
      <c r="I68" s="4">
        <v>18</v>
      </c>
      <c r="J68" s="4">
        <v>8</v>
      </c>
      <c r="K68" s="4"/>
      <c r="L68" s="4"/>
      <c r="M68" s="4"/>
      <c r="N68" s="4"/>
      <c r="O68" s="4">
        <v>21683</v>
      </c>
      <c r="Q68" s="41">
        <f>O68*$Q$15</f>
        <v>1151.3091714218222</v>
      </c>
      <c r="R68" s="14"/>
      <c r="S68" s="1">
        <f>H68*24+I68+J68/60+K68/3600</f>
        <v>594.13333333333333</v>
      </c>
      <c r="T68" s="15">
        <f>Q15+(Q16-Q15)*(S68-S15)/(S16-S15)</f>
        <v>5.329327324133698E-2</v>
      </c>
      <c r="U68" s="16">
        <f>O68*T68</f>
        <v>1155.5580436919097</v>
      </c>
      <c r="AX68" s="4">
        <v>16195</v>
      </c>
    </row>
    <row r="69" spans="1:50" s="1" customFormat="1">
      <c r="A69"/>
      <c r="C69" s="18">
        <v>51</v>
      </c>
      <c r="D69" s="12"/>
      <c r="E69" s="12"/>
      <c r="F69" s="4">
        <v>2013</v>
      </c>
      <c r="G69" s="4">
        <v>7</v>
      </c>
      <c r="H69" s="4">
        <v>24</v>
      </c>
      <c r="I69" s="4">
        <v>18</v>
      </c>
      <c r="J69" s="4">
        <v>9</v>
      </c>
      <c r="K69" s="4"/>
      <c r="L69" s="4"/>
      <c r="M69" s="4"/>
      <c r="N69" s="4"/>
      <c r="O69" s="4">
        <v>21142</v>
      </c>
      <c r="Q69" s="41">
        <f>O69*$Q$15</f>
        <v>1122.5835217543772</v>
      </c>
      <c r="R69" s="14"/>
      <c r="S69" s="1">
        <f>H69*24+I69+J69/60+K69/3600</f>
        <v>594.15</v>
      </c>
      <c r="T69" s="15">
        <f>Q15+(Q16-Q15)*(S69-S15)/(S16-S15)</f>
        <v>5.329690202055648E-2</v>
      </c>
      <c r="U69" s="16">
        <f>O69*T69</f>
        <v>1126.8031025186051</v>
      </c>
      <c r="AX69" s="4">
        <v>18688</v>
      </c>
    </row>
    <row r="70" spans="1:50" s="1" customFormat="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24</v>
      </c>
      <c r="I70" s="4">
        <v>18</v>
      </c>
      <c r="J70" s="4">
        <v>9</v>
      </c>
      <c r="K70" s="4"/>
      <c r="L70" s="4"/>
      <c r="M70" s="4"/>
      <c r="N70" s="4"/>
      <c r="O70" s="4">
        <v>21370</v>
      </c>
      <c r="Q70" s="41">
        <f>O70*$Q$15</f>
        <v>1134.6897105236517</v>
      </c>
      <c r="R70" s="14"/>
      <c r="S70" s="1">
        <f>H70*24+I70+J70/60+K70/3600</f>
        <v>594.15</v>
      </c>
      <c r="T70" s="15">
        <f>Q15+(Q16-Q15)*(S70-S15)/(S16-S15)</f>
        <v>5.329690202055648E-2</v>
      </c>
      <c r="U70" s="16">
        <f>O70*T70</f>
        <v>1138.9547961792921</v>
      </c>
      <c r="AX70" s="4">
        <v>18197</v>
      </c>
    </row>
    <row r="71" spans="1:50" s="1" customFormat="1">
      <c r="A71"/>
      <c r="C71">
        <v>53</v>
      </c>
      <c r="D71" s="12"/>
      <c r="E71" s="12"/>
      <c r="F71" s="4">
        <v>2013</v>
      </c>
      <c r="G71" s="4">
        <v>7</v>
      </c>
      <c r="H71" s="4">
        <v>24</v>
      </c>
      <c r="I71" s="4">
        <v>18</v>
      </c>
      <c r="J71" s="4">
        <v>10</v>
      </c>
      <c r="K71" s="4"/>
      <c r="L71" s="4"/>
      <c r="M71" s="4"/>
      <c r="N71" s="4"/>
      <c r="O71" s="4">
        <v>23187</v>
      </c>
      <c r="Q71" s="41">
        <f>O71*$Q$15</f>
        <v>1231.167539443702</v>
      </c>
      <c r="R71" s="14"/>
      <c r="S71" s="1">
        <f>H71*24+I71+J71/60+K71/3600</f>
        <v>594.16666666666663</v>
      </c>
      <c r="T71" s="15">
        <f>Q15+(Q16-Q15)*(S71-S15)/(S16-S15)</f>
        <v>5.330053079977598E-2</v>
      </c>
      <c r="U71" s="16">
        <f>O71*T71</f>
        <v>1235.8794076544057</v>
      </c>
      <c r="AX71" s="4">
        <v>15749</v>
      </c>
    </row>
    <row r="72" spans="1:50" s="1" customFormat="1">
      <c r="A72"/>
      <c r="C72" s="18">
        <v>54</v>
      </c>
      <c r="D72" s="12"/>
      <c r="E72" s="12"/>
      <c r="F72" s="4">
        <v>2013</v>
      </c>
      <c r="G72" s="4">
        <v>7</v>
      </c>
      <c r="H72" s="4">
        <v>24</v>
      </c>
      <c r="I72" s="4">
        <v>18</v>
      </c>
      <c r="J72" s="4">
        <v>11</v>
      </c>
      <c r="K72" s="4"/>
      <c r="L72" s="4"/>
      <c r="M72" s="4"/>
      <c r="N72" s="4"/>
      <c r="O72" s="4">
        <v>24483</v>
      </c>
      <c r="Q72" s="41">
        <f>O72*$Q$15</f>
        <v>1299.9816650795772</v>
      </c>
      <c r="R72" s="14"/>
      <c r="S72" s="1">
        <f>H72*24+I72+J72/60+K72/3600</f>
        <v>594.18333333333328</v>
      </c>
      <c r="T72" s="15">
        <f>Q15+(Q16-Q15)*(S72-S15)/(S16-S15)</f>
        <v>5.3304159578995473E-2</v>
      </c>
      <c r="U72" s="16">
        <f>O72*T72</f>
        <v>1305.0457389725461</v>
      </c>
      <c r="AX72" s="4">
        <v>16325</v>
      </c>
    </row>
    <row r="73" spans="1:50" s="1" customFormat="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24</v>
      </c>
      <c r="I73" s="4">
        <v>18</v>
      </c>
      <c r="J73" s="29">
        <v>14</v>
      </c>
      <c r="K73" s="29"/>
      <c r="L73" s="29"/>
      <c r="M73" s="29"/>
      <c r="N73" s="29"/>
      <c r="O73" s="29">
        <v>21846</v>
      </c>
      <c r="P73" s="2"/>
      <c r="Q73" s="45">
        <f>O73*$Q$15</f>
        <v>1159.9640344454699</v>
      </c>
      <c r="R73" s="31"/>
      <c r="S73" s="2">
        <f>H73*24+I73+J73/60+K73/3600</f>
        <v>594.23333333333335</v>
      </c>
      <c r="T73" s="32">
        <f>Q15+(Q16-Q15)*(S73-S15)/(S16-S15)</f>
        <v>5.3315045916653994E-2</v>
      </c>
      <c r="U73" s="33">
        <f>O73*T73</f>
        <v>1164.7204930952232</v>
      </c>
      <c r="V73" s="2"/>
      <c r="AX73" s="4">
        <v>11125</v>
      </c>
    </row>
    <row r="74" spans="1:50" s="1" customFormat="1">
      <c r="A74"/>
      <c r="C74">
        <v>56</v>
      </c>
      <c r="D74" s="12"/>
      <c r="E74" s="12"/>
      <c r="F74" s="4">
        <v>2013</v>
      </c>
      <c r="G74" s="4">
        <v>7</v>
      </c>
      <c r="H74" s="4">
        <v>24</v>
      </c>
      <c r="I74" s="4">
        <v>18</v>
      </c>
      <c r="J74" s="4">
        <v>13</v>
      </c>
      <c r="K74" s="4"/>
      <c r="L74" s="4"/>
      <c r="M74" s="4"/>
      <c r="N74" s="4"/>
      <c r="O74" s="4">
        <v>16293</v>
      </c>
      <c r="Q74" s="41">
        <f>O74*$Q$15</f>
        <v>865.11462113064374</v>
      </c>
      <c r="R74" s="14"/>
      <c r="S74" s="1">
        <f>H74*24+I74+J74/60+K74/3600</f>
        <v>594.2166666666667</v>
      </c>
      <c r="T74" s="15">
        <f>Q15+(Q16-Q15)*(S74-S15)/(S16-S15)</f>
        <v>5.3311417137434494E-2</v>
      </c>
      <c r="U74" s="16">
        <f>O74*T74</f>
        <v>868.60291942022025</v>
      </c>
      <c r="AX74" s="4">
        <v>30637</v>
      </c>
    </row>
    <row r="75" spans="1:50" s="1" customFormat="1">
      <c r="C75" s="18">
        <v>57</v>
      </c>
      <c r="D75" s="12"/>
      <c r="E75" s="12"/>
      <c r="F75" s="4">
        <v>2013</v>
      </c>
      <c r="G75" s="4">
        <v>7</v>
      </c>
      <c r="H75" s="4">
        <v>24</v>
      </c>
      <c r="I75" s="4">
        <v>18</v>
      </c>
      <c r="J75" s="4">
        <v>15</v>
      </c>
      <c r="K75" s="4"/>
      <c r="L75" s="4"/>
      <c r="M75" s="4"/>
      <c r="N75" s="4"/>
      <c r="O75" s="4">
        <v>41334</v>
      </c>
      <c r="Q75" s="41">
        <f>O75*$Q$15</f>
        <v>2194.724590303445</v>
      </c>
      <c r="R75" s="14"/>
      <c r="S75" s="1">
        <f>H75*24+I75+J75/60+K75/3600</f>
        <v>594.25</v>
      </c>
      <c r="T75" s="15">
        <f>Q15+(Q16-Q15)*(S75-S15)/(S16-S15)</f>
        <v>5.3318674695873494E-2</v>
      </c>
      <c r="U75" s="16">
        <f>O75*T75</f>
        <v>2203.874099879235</v>
      </c>
      <c r="AX75" s="4">
        <v>30864</v>
      </c>
    </row>
    <row r="76" spans="1:50" s="1" customFormat="1">
      <c r="A76"/>
      <c r="C76" s="18">
        <v>58</v>
      </c>
      <c r="D76" s="12"/>
      <c r="E76" s="12"/>
      <c r="F76" s="4">
        <v>2013</v>
      </c>
      <c r="G76" s="4">
        <v>7</v>
      </c>
      <c r="H76" s="4">
        <v>24</v>
      </c>
      <c r="I76" s="4">
        <v>18</v>
      </c>
      <c r="J76" s="4">
        <v>16</v>
      </c>
      <c r="K76" s="4"/>
      <c r="L76" s="4"/>
      <c r="M76" s="4"/>
      <c r="N76" s="4"/>
      <c r="O76" s="4">
        <v>43394</v>
      </c>
      <c r="Q76" s="41">
        <f>O76*$Q$15</f>
        <v>2304.1050677802218</v>
      </c>
      <c r="R76" s="14"/>
      <c r="S76" s="1">
        <f>H76*24+I76+J76/60+K76/3600</f>
        <v>594.26666666666665</v>
      </c>
      <c r="T76" s="15">
        <f>Q15+(Q16-Q15)*(S76-S15)/(S16-S15)</f>
        <v>5.3322303475092987E-2</v>
      </c>
      <c r="U76" s="16">
        <f>O76*T76</f>
        <v>2313.8680369981853</v>
      </c>
      <c r="AX76" s="4">
        <v>28986</v>
      </c>
    </row>
    <row r="77" spans="1:50" s="1" customFormat="1">
      <c r="A77"/>
      <c r="C77">
        <v>59</v>
      </c>
      <c r="D77" s="12"/>
      <c r="E77" s="12"/>
      <c r="F77" s="4">
        <v>2013</v>
      </c>
      <c r="G77" s="4">
        <v>7</v>
      </c>
      <c r="H77" s="4">
        <v>24</v>
      </c>
      <c r="I77" s="4">
        <v>18</v>
      </c>
      <c r="J77" s="4">
        <v>17</v>
      </c>
      <c r="K77" s="4"/>
      <c r="L77" s="4"/>
      <c r="M77" s="4"/>
      <c r="N77" s="4"/>
      <c r="O77" s="4">
        <v>40198</v>
      </c>
      <c r="Q77" s="41">
        <f>O77*$Q$15</f>
        <v>2134.4060357337271</v>
      </c>
      <c r="R77" s="14"/>
      <c r="S77" s="1">
        <f>H77*24+I77+J77/60+K77/3600</f>
        <v>594.2833333333333</v>
      </c>
      <c r="T77" s="15">
        <f>Q15+(Q16-Q15)*(S77-S15)/(S16-S15)</f>
        <v>5.3325932254312487E-2</v>
      </c>
      <c r="U77" s="16">
        <f>O77*T77</f>
        <v>2143.5958247588533</v>
      </c>
      <c r="AX77" s="6">
        <v>33704</v>
      </c>
    </row>
    <row r="78" spans="1:50" s="1" customFormat="1">
      <c r="A78"/>
      <c r="C78" s="18">
        <v>60</v>
      </c>
      <c r="D78" s="12"/>
      <c r="E78" s="12"/>
      <c r="F78" s="4">
        <v>2013</v>
      </c>
      <c r="G78" s="4">
        <v>7</v>
      </c>
      <c r="H78" s="4">
        <v>24</v>
      </c>
      <c r="I78" s="4">
        <v>18</v>
      </c>
      <c r="J78" s="4">
        <v>18</v>
      </c>
      <c r="K78" s="4"/>
      <c r="L78" s="4"/>
      <c r="M78" s="4"/>
      <c r="N78" s="4"/>
      <c r="O78" s="4">
        <v>43302</v>
      </c>
      <c r="Q78" s="41">
        <f>O78*$Q$15</f>
        <v>2299.2201144171813</v>
      </c>
      <c r="R78" s="14"/>
      <c r="S78" s="1">
        <f>H78*24+I78+J78/60+K78/3600</f>
        <v>594.29999999999995</v>
      </c>
      <c r="T78" s="15">
        <f>Q15+(Q16-Q15)*(S78-S15)/(S16-S15)</f>
        <v>5.3329561033531987E-2</v>
      </c>
      <c r="U78" s="16">
        <f>O78*T78</f>
        <v>2309.2766518740023</v>
      </c>
      <c r="AX78" s="4">
        <v>32722</v>
      </c>
    </row>
    <row r="79" spans="1:50" s="1" customFormat="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24</v>
      </c>
      <c r="I79" s="4">
        <v>18</v>
      </c>
      <c r="J79" s="4">
        <v>19</v>
      </c>
      <c r="K79" s="4"/>
      <c r="L79" s="4"/>
      <c r="M79" s="4"/>
      <c r="N79" s="4"/>
      <c r="O79" s="4">
        <v>41936</v>
      </c>
      <c r="Q79" s="41">
        <f>O79*$Q$15</f>
        <v>2226.689176439862</v>
      </c>
      <c r="R79" s="14"/>
      <c r="S79" s="1">
        <f>H79*24+I79+J79/60+K79/3600</f>
        <v>594.31666666666672</v>
      </c>
      <c r="T79" s="15">
        <f>Q15+(Q16-Q15)*(S79-S15)/(S16-S15)</f>
        <v>5.3333189812751508E-2</v>
      </c>
      <c r="U79" s="16">
        <f>O79*T79</f>
        <v>2236.5806479875473</v>
      </c>
      <c r="AX79" s="4">
        <v>26467</v>
      </c>
    </row>
    <row r="80" spans="1:50" s="1" customFormat="1">
      <c r="A80"/>
      <c r="C80">
        <v>62</v>
      </c>
      <c r="D80" s="12"/>
      <c r="E80" s="12"/>
      <c r="F80" s="4">
        <v>2013</v>
      </c>
      <c r="G80" s="4">
        <v>7</v>
      </c>
      <c r="H80" s="4">
        <v>24</v>
      </c>
      <c r="I80" s="4">
        <v>18</v>
      </c>
      <c r="J80" s="4">
        <v>20</v>
      </c>
      <c r="K80" s="4"/>
      <c r="L80" s="4"/>
      <c r="M80" s="4"/>
      <c r="N80" s="4"/>
      <c r="O80" s="4">
        <v>34778</v>
      </c>
      <c r="Q80" s="41">
        <f>O80*$Q$15</f>
        <v>1846.6185658676441</v>
      </c>
      <c r="R80" s="14"/>
      <c r="S80" s="1">
        <f>H80*24+I80+J80/60+K80/3600</f>
        <v>594.33333333333337</v>
      </c>
      <c r="T80" s="15">
        <f>Q15+(Q16-Q15)*(S80-S15)/(S16-S15)</f>
        <v>5.3336818591971008E-2</v>
      </c>
      <c r="U80" s="16">
        <f>O80*T80</f>
        <v>1854.9478769915677</v>
      </c>
      <c r="AX80" s="6">
        <v>24160</v>
      </c>
    </row>
    <row r="81" spans="1:50" s="1" customFormat="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24</v>
      </c>
      <c r="I81" s="4">
        <v>18</v>
      </c>
      <c r="J81" s="4">
        <v>22</v>
      </c>
      <c r="K81" s="4"/>
      <c r="L81" s="4"/>
      <c r="M81" s="4"/>
      <c r="N81" s="4"/>
      <c r="O81" s="4">
        <v>41770</v>
      </c>
      <c r="Q81" s="41">
        <f>O81*$Q$15</f>
        <v>2217.8750214587239</v>
      </c>
      <c r="R81" s="14"/>
      <c r="S81" s="1">
        <f>H81*24+I81+J81/60+K81/3600</f>
        <v>594.36666666666667</v>
      </c>
      <c r="T81" s="15">
        <f>Q15+(Q16-Q15)*(S81-S15)/(S16-S15)</f>
        <v>5.3344076150410001E-2</v>
      </c>
      <c r="U81" s="33">
        <f>O81*T81</f>
        <v>2228.1820608026255</v>
      </c>
      <c r="AX81" s="4">
        <v>23147</v>
      </c>
    </row>
    <row r="82" spans="1:50" s="1" customFormat="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24</v>
      </c>
      <c r="I82" s="4">
        <v>18</v>
      </c>
      <c r="J82" s="4">
        <v>23</v>
      </c>
      <c r="K82" s="4"/>
      <c r="L82" s="4"/>
      <c r="M82" s="4"/>
      <c r="N82" s="4"/>
      <c r="O82" s="4">
        <v>37907</v>
      </c>
      <c r="Q82" s="41">
        <f>O82*$Q$15</f>
        <v>2012.7600775301853</v>
      </c>
      <c r="R82" s="14"/>
      <c r="S82" s="1">
        <f>H82*24+I82+J82/60+K82/3600</f>
        <v>594.38333333333333</v>
      </c>
      <c r="T82" s="15">
        <f>Q15+(Q16-Q15)*(S82-S15)/(S16-S15)</f>
        <v>5.3347704929629501E-2</v>
      </c>
      <c r="U82" s="16">
        <f>O82*T82</f>
        <v>2022.2514507674655</v>
      </c>
      <c r="AX82" s="4">
        <v>24509</v>
      </c>
    </row>
    <row r="83" spans="1:50" s="1" customFormat="1">
      <c r="A83"/>
      <c r="C83">
        <v>65</v>
      </c>
      <c r="D83" s="12"/>
      <c r="E83" s="12"/>
      <c r="F83" s="4">
        <v>2013</v>
      </c>
      <c r="G83" s="4">
        <v>7</v>
      </c>
      <c r="H83" s="4">
        <v>24</v>
      </c>
      <c r="I83" s="4">
        <v>18</v>
      </c>
      <c r="J83" s="4">
        <v>23</v>
      </c>
      <c r="K83" s="4"/>
      <c r="L83" s="4"/>
      <c r="M83" s="4"/>
      <c r="N83" s="4"/>
      <c r="O83" s="4">
        <v>39211</v>
      </c>
      <c r="Q83" s="41">
        <f>O83*$Q$15</f>
        <v>2081.9989817193687</v>
      </c>
      <c r="R83" s="14"/>
      <c r="S83" s="1">
        <f>H83*24+I83+J83/60+K83/3600</f>
        <v>594.38333333333333</v>
      </c>
      <c r="T83" s="15">
        <f>Q15+(Q16-Q15)*(S83-S15)/(S16-S15)</f>
        <v>5.3347704929629501E-2</v>
      </c>
      <c r="U83" s="16">
        <f>O83*T83</f>
        <v>2091.8168579957023</v>
      </c>
      <c r="AX83" s="4">
        <v>24368</v>
      </c>
    </row>
    <row r="84" spans="1:50" s="1" customFormat="1">
      <c r="A84"/>
      <c r="C84" s="18">
        <v>66</v>
      </c>
      <c r="D84" s="12"/>
      <c r="E84" s="12"/>
      <c r="F84" s="4">
        <v>2013</v>
      </c>
      <c r="G84" s="4">
        <v>7</v>
      </c>
      <c r="H84" s="4">
        <v>24</v>
      </c>
      <c r="I84" s="4">
        <v>18</v>
      </c>
      <c r="J84" s="4">
        <v>25</v>
      </c>
      <c r="K84" s="4"/>
      <c r="L84" s="4"/>
      <c r="M84" s="4"/>
      <c r="N84" s="4"/>
      <c r="O84" s="4">
        <v>39629</v>
      </c>
      <c r="Q84" s="41">
        <f>O84*$Q$15</f>
        <v>2104.1936611297047</v>
      </c>
      <c r="R84" s="14"/>
      <c r="S84" s="1">
        <f>H84*24+I84+J84/60+K84/3600</f>
        <v>594.41666666666663</v>
      </c>
      <c r="T84" s="15">
        <f>Q15+(Q16-Q15)*(S84-S15)/(S16-S15)</f>
        <v>5.3354962488068494E-2</v>
      </c>
      <c r="U84" s="16">
        <f>O84*T84</f>
        <v>2114.4038084396661</v>
      </c>
      <c r="AX84" s="4">
        <v>30237</v>
      </c>
    </row>
    <row r="85" spans="1:50" s="1" customFormat="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24</v>
      </c>
      <c r="I85" s="4">
        <v>18</v>
      </c>
      <c r="J85" s="4">
        <v>28</v>
      </c>
      <c r="K85" s="4"/>
      <c r="L85" s="4"/>
      <c r="M85" s="4"/>
      <c r="N85" s="4"/>
      <c r="O85" s="4">
        <v>44298</v>
      </c>
      <c r="Q85" s="41">
        <f>O85*$Q$15</f>
        <v>2352.1050443040112</v>
      </c>
      <c r="R85" s="14"/>
      <c r="S85" s="1">
        <f>H85*24+I85+J85/60+K85/3600</f>
        <v>594.4666666666667</v>
      </c>
      <c r="T85" s="15">
        <f>Q$15+(Q$16-Q$15)*(S85-S$15)/(S$16-S$15)</f>
        <v>5.3365848825727008E-2</v>
      </c>
      <c r="U85" s="16">
        <f>O85*T85</f>
        <v>2364.0003712820549</v>
      </c>
      <c r="AX85" s="4">
        <v>25862</v>
      </c>
    </row>
    <row r="86" spans="1:50" s="1" customFormat="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24</v>
      </c>
      <c r="I86" s="4">
        <v>18</v>
      </c>
      <c r="J86" s="4">
        <v>27</v>
      </c>
      <c r="K86" s="4"/>
      <c r="L86" s="4"/>
      <c r="M86" s="4"/>
      <c r="N86" s="4"/>
      <c r="O86" s="4">
        <v>48779</v>
      </c>
      <c r="Q86" s="41">
        <f>O86*$Q$15</f>
        <v>2590.0341314755829</v>
      </c>
      <c r="R86" s="14"/>
      <c r="S86" s="1">
        <f>H86*24+I86+J86/60+K86/3600</f>
        <v>594.45000000000005</v>
      </c>
      <c r="T86" s="15">
        <f>Q$15+(Q$16-Q$15)*(S86-S$15)/(S$16-S$15)</f>
        <v>5.3362220046507515E-2</v>
      </c>
      <c r="U86" s="16">
        <f>O86*T86</f>
        <v>2602.9557316485902</v>
      </c>
      <c r="AX86" s="4">
        <v>31542</v>
      </c>
    </row>
    <row r="87" spans="1:50" s="1" customFormat="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24</v>
      </c>
      <c r="I87" s="4">
        <v>18</v>
      </c>
      <c r="J87" s="29">
        <v>29</v>
      </c>
      <c r="K87" s="29"/>
      <c r="L87" s="29"/>
      <c r="M87" s="29"/>
      <c r="N87" s="29"/>
      <c r="O87" s="29">
        <v>49010</v>
      </c>
      <c r="P87" s="2"/>
      <c r="Q87" s="45">
        <f>O87*$Q$15</f>
        <v>2602.2996122023474</v>
      </c>
      <c r="R87" s="31"/>
      <c r="S87" s="2">
        <f>H87*24+I87+J87/60+K87/3600</f>
        <v>594.48333333333335</v>
      </c>
      <c r="T87" s="15">
        <f>Q$15+(Q$16-Q$15)*(S87-S$15)/(S$16-S$15)</f>
        <v>5.3369477604946508E-2</v>
      </c>
      <c r="U87" s="16">
        <f>O87*T87</f>
        <v>2615.6380974184285</v>
      </c>
      <c r="V87" s="2"/>
      <c r="AX87" s="4">
        <v>22262</v>
      </c>
    </row>
    <row r="88" spans="1:50" s="1" customFormat="1">
      <c r="C88" s="18">
        <v>70</v>
      </c>
      <c r="F88" s="4">
        <v>2013</v>
      </c>
      <c r="G88" s="4">
        <v>7</v>
      </c>
      <c r="H88" s="4">
        <v>24</v>
      </c>
      <c r="I88" s="4">
        <v>18</v>
      </c>
      <c r="J88" s="1">
        <v>30</v>
      </c>
      <c r="O88" s="1">
        <v>73397</v>
      </c>
      <c r="Q88" s="1">
        <f>O88*$Q$15</f>
        <v>3897.1839346422303</v>
      </c>
      <c r="S88" s="1">
        <f>H88*24+I88+J88/60+K88/3600</f>
        <v>594.5</v>
      </c>
      <c r="T88" s="15">
        <f>Q$15+(Q$16-Q$15)*(S88-S$15)/(S$16-S$15)</f>
        <v>5.3373106384166008E-2</v>
      </c>
      <c r="U88" s="16">
        <f>O88*T88</f>
        <v>3917.4258892786324</v>
      </c>
      <c r="AX88" s="4">
        <v>28902</v>
      </c>
    </row>
    <row r="89" spans="1:50" s="1" customFormat="1" ht="15.75">
      <c r="C89">
        <v>71</v>
      </c>
      <c r="F89" s="4">
        <v>2013</v>
      </c>
      <c r="G89" s="4">
        <v>7</v>
      </c>
      <c r="H89" s="4">
        <v>24</v>
      </c>
      <c r="I89" s="4">
        <v>18</v>
      </c>
      <c r="J89" s="1">
        <v>31</v>
      </c>
      <c r="O89" s="1">
        <v>42165</v>
      </c>
      <c r="Q89" s="1">
        <f>O89*$Q$15</f>
        <v>2238.8484625282999</v>
      </c>
      <c r="S89" s="1">
        <f>H89*24+I89+J89/60+K89/3600</f>
        <v>594.51666666666665</v>
      </c>
      <c r="T89" s="15">
        <f>Q$15+(Q$16-Q$15)*(S89-S$15)/(S$16-S$15)</f>
        <v>5.3376735163385508E-2</v>
      </c>
      <c r="U89" s="33">
        <f>O89*T89</f>
        <v>2250.6300381641499</v>
      </c>
      <c r="AX89" s="4">
        <v>30000</v>
      </c>
    </row>
    <row r="90" spans="1:50" s="1" customFormat="1">
      <c r="C90" s="18">
        <v>72</v>
      </c>
      <c r="F90" s="4">
        <v>2013</v>
      </c>
      <c r="G90" s="4">
        <v>7</v>
      </c>
      <c r="H90" s="4">
        <v>24</v>
      </c>
      <c r="I90" s="4">
        <v>18</v>
      </c>
      <c r="J90" s="1">
        <v>34</v>
      </c>
      <c r="O90" s="1">
        <v>54758</v>
      </c>
      <c r="Q90" s="1">
        <f>O90*$Q$15</f>
        <v>2907.5030027540533</v>
      </c>
      <c r="S90" s="1">
        <f>H90*24+I90+J90/60+K90/3600</f>
        <v>594.56666666666672</v>
      </c>
      <c r="T90" s="15">
        <f>Q$15+(Q$16-Q$15)*(S90-S$15)/(S$16-S$15)</f>
        <v>5.3387621501044022E-2</v>
      </c>
      <c r="U90" s="16">
        <f>O90*T90</f>
        <v>2923.3993781541685</v>
      </c>
      <c r="AX90" s="4">
        <v>29504</v>
      </c>
    </row>
    <row r="91" spans="1:50" s="1" customFormat="1">
      <c r="C91" s="18">
        <v>73</v>
      </c>
      <c r="F91" s="4">
        <v>2013</v>
      </c>
      <c r="G91" s="4">
        <v>7</v>
      </c>
      <c r="H91" s="4">
        <v>24</v>
      </c>
      <c r="I91" s="4">
        <v>18</v>
      </c>
      <c r="J91" s="1">
        <v>36</v>
      </c>
      <c r="O91" s="1">
        <v>44643</v>
      </c>
      <c r="Q91" s="1">
        <f>O91*$Q$15</f>
        <v>2370.4236194154132</v>
      </c>
      <c r="S91" s="1">
        <f>H91*24+I91+J91/60+K91/3600</f>
        <v>594.6</v>
      </c>
      <c r="T91" s="15">
        <f>Q$15+(Q$16-Q$15)*(S91-S$15)/(S$16-S$15)</f>
        <v>5.3394879059483015E-2</v>
      </c>
      <c r="U91" s="16">
        <f>O91*T91</f>
        <v>2383.7075858525004</v>
      </c>
      <c r="AX91" s="4">
        <v>29094</v>
      </c>
    </row>
    <row r="92" spans="1:50" s="1" customFormat="1">
      <c r="C92">
        <v>74</v>
      </c>
      <c r="F92" s="4">
        <v>2013</v>
      </c>
      <c r="G92" s="4">
        <v>7</v>
      </c>
      <c r="H92" s="4">
        <v>24</v>
      </c>
      <c r="I92" s="4">
        <v>18</v>
      </c>
      <c r="J92" s="1">
        <v>39</v>
      </c>
      <c r="O92" s="1">
        <v>43490</v>
      </c>
      <c r="Q92" s="1">
        <f>O92*$Q$15</f>
        <v>2309.2024104199163</v>
      </c>
      <c r="S92" s="1">
        <f>H92*24+I92+J92/60+K92/3600</f>
        <v>594.65</v>
      </c>
      <c r="T92" s="15">
        <f>Q$15+(Q$16-Q$15)*(S92-S$15)/(S$16-S$15)</f>
        <v>5.3405765397141508E-2</v>
      </c>
      <c r="U92" s="16">
        <f>O92*T92</f>
        <v>2322.6167371216843</v>
      </c>
      <c r="AX92" s="4">
        <v>28912</v>
      </c>
    </row>
    <row r="93" spans="1:50" s="1" customFormat="1">
      <c r="C93" s="18">
        <v>75</v>
      </c>
      <c r="F93" s="4">
        <v>2013</v>
      </c>
      <c r="G93" s="4">
        <v>7</v>
      </c>
      <c r="H93" s="4">
        <v>24</v>
      </c>
      <c r="I93" s="4">
        <v>18</v>
      </c>
      <c r="J93" s="1">
        <v>38</v>
      </c>
      <c r="O93" s="1">
        <v>48570</v>
      </c>
      <c r="Q93" s="1">
        <f>O93*$Q$15</f>
        <v>2578.9367917704144</v>
      </c>
      <c r="S93" s="1">
        <f>H93*24+I93+J93/60+K93/3600</f>
        <v>594.63333333333333</v>
      </c>
      <c r="T93" s="15">
        <f>Q$15+(Q$16-Q$15)*(S93-S$15)/(S$16-S$15)</f>
        <v>5.3402136617922015E-2</v>
      </c>
      <c r="U93" s="16">
        <f>O93*T93</f>
        <v>2593.7417755324723</v>
      </c>
      <c r="AX93" s="4">
        <v>23114</v>
      </c>
    </row>
    <row r="94" spans="1:50" s="1" customFormat="1">
      <c r="C94" s="18">
        <v>76</v>
      </c>
      <c r="F94" s="4">
        <v>2013</v>
      </c>
      <c r="G94" s="4">
        <v>7</v>
      </c>
      <c r="H94" s="4">
        <v>24</v>
      </c>
      <c r="I94" s="4">
        <v>18</v>
      </c>
      <c r="J94" s="1">
        <v>40</v>
      </c>
      <c r="O94" s="1">
        <v>38340</v>
      </c>
      <c r="Q94" s="1">
        <f>O94*$Q$15</f>
        <v>2035.751216727974</v>
      </c>
      <c r="S94" s="1">
        <f>H94*24+I94+J94/60+K94/3600</f>
        <v>594.66666666666663</v>
      </c>
      <c r="T94" s="15">
        <f>Q$15+(Q$16-Q$15)*(S94-S$15)/(S$16-S$15)</f>
        <v>5.3409394176361008E-2</v>
      </c>
      <c r="U94" s="16">
        <f>O94*T94</f>
        <v>2047.716172721681</v>
      </c>
      <c r="AX94" s="4">
        <v>22691</v>
      </c>
    </row>
    <row r="95" spans="1:50" s="1" customFormat="1">
      <c r="C95">
        <v>77</v>
      </c>
      <c r="F95" s="4">
        <v>2013</v>
      </c>
      <c r="G95" s="4">
        <v>7</v>
      </c>
      <c r="H95" s="4">
        <v>24</v>
      </c>
      <c r="I95" s="4">
        <v>18</v>
      </c>
      <c r="J95" s="1">
        <v>41</v>
      </c>
      <c r="O95" s="1">
        <v>40722</v>
      </c>
      <c r="Q95" s="1">
        <f>O95*$Q$15</f>
        <v>2162.2290309753926</v>
      </c>
      <c r="S95" s="1">
        <f>H95*24+I95+J95/60+K95/3600</f>
        <v>594.68333333333328</v>
      </c>
      <c r="T95" s="15">
        <f>Q$15+(Q$16-Q$15)*(S95-S$15)/(S$16-S$15)</f>
        <v>5.3413022955580508E-2</v>
      </c>
      <c r="U95" s="16">
        <f>O95*T95</f>
        <v>2175.0851207971496</v>
      </c>
      <c r="AX95" s="4">
        <v>22302</v>
      </c>
    </row>
    <row r="96" spans="1:50" s="1" customFormat="1">
      <c r="C96" s="18">
        <v>78</v>
      </c>
      <c r="F96" s="4">
        <v>2013</v>
      </c>
      <c r="G96" s="4">
        <v>7</v>
      </c>
      <c r="H96" s="4">
        <v>24</v>
      </c>
      <c r="I96" s="4">
        <v>18</v>
      </c>
      <c r="J96" s="1">
        <v>42</v>
      </c>
      <c r="O96" s="1">
        <v>38819</v>
      </c>
      <c r="Q96" s="1">
        <f>O96*$Q$15</f>
        <v>2061.1848326072827</v>
      </c>
      <c r="S96" s="1">
        <f>H96*24+I96+J96/60+K96/3600</f>
        <v>594.70000000000005</v>
      </c>
      <c r="T96" s="15">
        <f>Q$15+(Q$16-Q$15)*(S96-S$15)/(S$16-S$15)</f>
        <v>5.3416651734800029E-2</v>
      </c>
      <c r="U96" s="16">
        <f>O96*T96</f>
        <v>2073.5810036932025</v>
      </c>
      <c r="AX96" s="4">
        <v>22563</v>
      </c>
    </row>
    <row r="97" spans="3:50" s="1" customFormat="1" ht="15.75">
      <c r="C97" s="18">
        <v>79</v>
      </c>
      <c r="F97" s="4">
        <v>2013</v>
      </c>
      <c r="G97" s="4">
        <v>7</v>
      </c>
      <c r="H97" s="4">
        <v>24</v>
      </c>
      <c r="I97" s="4">
        <v>18</v>
      </c>
      <c r="J97" s="1">
        <v>43</v>
      </c>
      <c r="O97" s="1">
        <v>33018</v>
      </c>
      <c r="Q97" s="1">
        <f>O97*$Q$15</f>
        <v>1753.1672841399125</v>
      </c>
      <c r="S97" s="1">
        <f>H97*24+I97+J97/60+K97/3600</f>
        <v>594.7166666666667</v>
      </c>
      <c r="T97" s="15">
        <f>Q$15+(Q$16-Q$15)*(S97-S$15)/(S$16-S$15)</f>
        <v>5.3420280514019529E-2</v>
      </c>
      <c r="U97" s="33">
        <f>O97*T97</f>
        <v>1763.8308220118968</v>
      </c>
      <c r="AX97" s="4">
        <v>23896</v>
      </c>
    </row>
    <row r="98" spans="3:50" s="1" customFormat="1">
      <c r="C98">
        <v>80</v>
      </c>
      <c r="F98" s="4">
        <v>2013</v>
      </c>
      <c r="G98" s="4">
        <v>7</v>
      </c>
      <c r="H98" s="4">
        <v>24</v>
      </c>
      <c r="I98" s="4">
        <v>18</v>
      </c>
      <c r="J98" s="1">
        <v>44</v>
      </c>
      <c r="O98" s="1">
        <v>34902</v>
      </c>
      <c r="Q98" s="1">
        <f>O98*$Q$15</f>
        <v>1853.2026334439163</v>
      </c>
      <c r="S98" s="1">
        <f>H98*24+I98+J98/60+K98/3600</f>
        <v>594.73333333333335</v>
      </c>
      <c r="T98" s="15">
        <f>Q$15+(Q$16-Q$15)*(S98-S$15)/(S$16-S$15)</f>
        <v>5.3423909293239022E-2</v>
      </c>
      <c r="U98" s="16">
        <f>O98*T98</f>
        <v>1864.6012821526283</v>
      </c>
      <c r="AX98" s="4">
        <v>41514</v>
      </c>
    </row>
    <row r="99" spans="3:50" s="1" customFormat="1">
      <c r="C99" s="18">
        <v>81</v>
      </c>
      <c r="F99" s="4">
        <v>2013</v>
      </c>
      <c r="G99" s="4">
        <v>7</v>
      </c>
      <c r="H99" s="4">
        <v>24</v>
      </c>
      <c r="I99" s="4">
        <v>18</v>
      </c>
      <c r="J99" s="1">
        <v>45</v>
      </c>
      <c r="O99" s="1">
        <v>65078</v>
      </c>
      <c r="Q99" s="1">
        <f>O99*$Q$15</f>
        <v>3455.4673365212075</v>
      </c>
      <c r="S99" s="1">
        <f>H99*24+I99+J99/60+K99/3600</f>
        <v>594.75</v>
      </c>
      <c r="T99" s="15">
        <f>Q$15+(Q$16-Q$15)*(S99-S$15)/(S$16-S$15)</f>
        <v>5.3427538072458522E-2</v>
      </c>
      <c r="U99" s="16">
        <f>O99*T99</f>
        <v>3476.9573226794555</v>
      </c>
      <c r="AX99" s="4">
        <v>35934</v>
      </c>
    </row>
    <row r="100" spans="3:50" s="1" customFormat="1">
      <c r="C100" s="18">
        <v>82</v>
      </c>
      <c r="F100" s="4">
        <v>2013</v>
      </c>
      <c r="G100" s="4">
        <v>7</v>
      </c>
      <c r="H100" s="4">
        <v>24</v>
      </c>
      <c r="I100" s="4">
        <v>18</v>
      </c>
      <c r="J100" s="1">
        <v>46</v>
      </c>
      <c r="O100" s="1">
        <v>73547</v>
      </c>
      <c r="Q100" s="1">
        <f>O100*$Q$15</f>
        <v>3905.1485325167528</v>
      </c>
      <c r="S100" s="1">
        <f>H100*24+I100+J100/60+K100/3600</f>
        <v>594.76666666666665</v>
      </c>
      <c r="T100" s="15">
        <f>Q$15+(Q$16-Q$15)*(S100-S$15)/(S$16-S$15)</f>
        <v>5.3431166851678022E-2</v>
      </c>
      <c r="U100" s="16">
        <f>O100*T100</f>
        <v>3929.7020284403634</v>
      </c>
      <c r="AX100" s="4">
        <v>31074</v>
      </c>
    </row>
    <row r="101" spans="3:50" s="1" customFormat="1">
      <c r="C101">
        <v>83</v>
      </c>
      <c r="F101" s="4">
        <v>2013</v>
      </c>
      <c r="G101" s="4">
        <v>7</v>
      </c>
      <c r="H101" s="4">
        <v>24</v>
      </c>
      <c r="I101" s="4">
        <v>18</v>
      </c>
      <c r="J101" s="1">
        <v>47</v>
      </c>
      <c r="O101" s="1">
        <v>69939</v>
      </c>
      <c r="Q101" s="1">
        <f>O101*$Q$15</f>
        <v>3713.5734049749026</v>
      </c>
      <c r="S101" s="1">
        <f>H101*24+I101+J101/60+K101/3600</f>
        <v>594.7833333333333</v>
      </c>
      <c r="T101" s="15">
        <f>Q$15+(Q$16-Q$15)*(S101-S$15)/(S$16-S$15)</f>
        <v>5.3434795630897515E-2</v>
      </c>
      <c r="U101" s="16">
        <f>O101*T101</f>
        <v>3737.1761716293413</v>
      </c>
      <c r="AX101" s="4">
        <v>35728</v>
      </c>
    </row>
    <row r="102" spans="3:50" s="1" customFormat="1">
      <c r="C102" s="18">
        <v>84</v>
      </c>
      <c r="F102" s="4">
        <v>2013</v>
      </c>
      <c r="G102" s="4">
        <v>7</v>
      </c>
      <c r="H102" s="4">
        <v>24</v>
      </c>
      <c r="I102" s="4">
        <v>18</v>
      </c>
      <c r="J102" s="1">
        <v>48</v>
      </c>
      <c r="O102" s="1">
        <v>20888</v>
      </c>
      <c r="Q102" s="1">
        <f>O102*$Q$15</f>
        <v>1109.0968026868525</v>
      </c>
      <c r="S102" s="1">
        <f>H102*24+I102+J102/60+K102/3600</f>
        <v>594.79999999999995</v>
      </c>
      <c r="T102" s="15">
        <f>Q$15+(Q$16-Q$15)*(S102-S$15)/(S$16-S$15)</f>
        <v>5.3438424410117015E-2</v>
      </c>
      <c r="U102" s="16">
        <f>O102*T102</f>
        <v>1116.2218090785243</v>
      </c>
      <c r="AX102" s="4">
        <v>35933</v>
      </c>
    </row>
    <row r="103" spans="3:50" s="1" customFormat="1">
      <c r="AX103" s="4">
        <v>44237</v>
      </c>
    </row>
    <row r="104" spans="3:50" s="1" customFormat="1">
      <c r="AX104" s="4">
        <v>34944</v>
      </c>
    </row>
    <row r="105" spans="3:50" s="1" customFormat="1">
      <c r="AX105" s="4">
        <v>25669</v>
      </c>
    </row>
    <row r="106" spans="3:50" s="1" customFormat="1">
      <c r="AX106" s="4">
        <v>30221</v>
      </c>
    </row>
    <row r="107" spans="3:50" s="1" customFormat="1">
      <c r="AX107" s="4">
        <v>30658</v>
      </c>
    </row>
    <row r="108" spans="3:50" s="1" customFormat="1">
      <c r="AX108" s="4">
        <v>38122</v>
      </c>
    </row>
    <row r="109" spans="3:50" s="1" customFormat="1">
      <c r="AX109" s="4">
        <v>21683</v>
      </c>
    </row>
    <row r="110" spans="3:50" s="1" customFormat="1">
      <c r="AX110" s="4">
        <v>21142</v>
      </c>
    </row>
    <row r="111" spans="3:50" s="1" customFormat="1">
      <c r="AX111" s="4">
        <v>21370</v>
      </c>
    </row>
    <row r="112" spans="3:50" s="1" customFormat="1">
      <c r="AX112" s="4">
        <v>23187</v>
      </c>
    </row>
    <row r="113" spans="50:50" s="1" customFormat="1">
      <c r="AX113" s="4">
        <v>24483</v>
      </c>
    </row>
    <row r="114" spans="50:50" s="1" customFormat="1" ht="15.75">
      <c r="AX114" s="29">
        <v>21846</v>
      </c>
    </row>
    <row r="115" spans="50:50" s="1" customFormat="1">
      <c r="AX115" s="4">
        <v>16293</v>
      </c>
    </row>
    <row r="116" spans="50:50" s="1" customFormat="1">
      <c r="AX116" s="4">
        <v>41334</v>
      </c>
    </row>
    <row r="117" spans="50:50" s="1" customFormat="1">
      <c r="AX117" s="4">
        <v>43394</v>
      </c>
    </row>
    <row r="118" spans="50:50" s="1" customFormat="1">
      <c r="AX118" s="4">
        <v>40198</v>
      </c>
    </row>
    <row r="119" spans="50:50" s="1" customFormat="1">
      <c r="AX119" s="4">
        <v>43302</v>
      </c>
    </row>
    <row r="120" spans="50:50" s="1" customFormat="1">
      <c r="AX120" s="4">
        <v>41936</v>
      </c>
    </row>
    <row r="121" spans="50:50" s="1" customFormat="1">
      <c r="AX121" s="4">
        <v>34778</v>
      </c>
    </row>
    <row r="122" spans="50:50" s="1" customFormat="1">
      <c r="AX122" s="4">
        <v>41770</v>
      </c>
    </row>
    <row r="123" spans="50:50" s="1" customFormat="1">
      <c r="AX123" s="4">
        <v>37907</v>
      </c>
    </row>
    <row r="124" spans="50:50" s="1" customFormat="1">
      <c r="AX124" s="4">
        <v>39211</v>
      </c>
    </row>
    <row r="125" spans="50:50" s="1" customFormat="1">
      <c r="AX125" s="4">
        <v>39629</v>
      </c>
    </row>
    <row r="126" spans="50:50" s="1" customFormat="1">
      <c r="AX126" s="4">
        <v>44298</v>
      </c>
    </row>
    <row r="127" spans="50:50" s="1" customFormat="1">
      <c r="AX127" s="4">
        <v>48779</v>
      </c>
    </row>
    <row r="128" spans="50:50" s="1" customFormat="1" ht="15.75">
      <c r="AX128" s="29">
        <v>49010</v>
      </c>
    </row>
    <row r="129" spans="50:50" s="1" customFormat="1" ht="13.5">
      <c r="AX129" s="1">
        <v>73397</v>
      </c>
    </row>
    <row r="130" spans="50:50" s="1" customFormat="1" ht="13.5">
      <c r="AX130" s="1">
        <v>42165</v>
      </c>
    </row>
    <row r="131" spans="50:50" s="1" customFormat="1" ht="13.5">
      <c r="AX131" s="1">
        <v>54758</v>
      </c>
    </row>
    <row r="132" spans="50:50" s="1" customFormat="1" ht="13.5">
      <c r="AX132" s="1">
        <v>44643</v>
      </c>
    </row>
    <row r="133" spans="50:50" s="1" customFormat="1" ht="13.5">
      <c r="AX133" s="1">
        <v>43490</v>
      </c>
    </row>
    <row r="134" spans="50:50" s="1" customFormat="1" ht="13.5">
      <c r="AX134" s="1">
        <v>48570</v>
      </c>
    </row>
    <row r="135" spans="50:50" s="1" customFormat="1" ht="13.5">
      <c r="AX135" s="1">
        <v>38340</v>
      </c>
    </row>
    <row r="136" spans="50:50" s="1" customFormat="1" ht="13.5">
      <c r="AX136" s="1">
        <v>40722</v>
      </c>
    </row>
    <row r="137" spans="50:50" s="1" customFormat="1" ht="13.5">
      <c r="AX137" s="1">
        <v>38819</v>
      </c>
    </row>
    <row r="138" spans="50:50" s="1" customFormat="1" ht="13.5">
      <c r="AX138" s="1">
        <v>33018</v>
      </c>
    </row>
    <row r="139" spans="50:50" s="1" customFormat="1" ht="13.5">
      <c r="AX139" s="1">
        <v>34902</v>
      </c>
    </row>
    <row r="140" spans="50:50" s="1" customFormat="1" ht="13.5">
      <c r="AX140" s="1">
        <v>65078</v>
      </c>
    </row>
    <row r="141" spans="50:50" s="1" customFormat="1" ht="13.5">
      <c r="AX141" s="1">
        <v>73547</v>
      </c>
    </row>
    <row r="142" spans="50:50" s="1" customFormat="1" ht="13.5">
      <c r="AX142" s="1">
        <v>69939</v>
      </c>
    </row>
    <row r="143" spans="50:50" s="1" customFormat="1" ht="13.5">
      <c r="AX143" s="1">
        <v>20888</v>
      </c>
    </row>
  </sheetData>
  <conditionalFormatting sqref="Q19:Q87">
    <cfRule type="cellIs" dxfId="14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2"/>
  <sheetViews>
    <sheetView tabSelected="1" zoomScaleNormal="100" workbookViewId="0">
      <selection activeCell="D8" sqref="D8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0.140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24</v>
      </c>
      <c r="I2" s="4">
        <v>18</v>
      </c>
      <c r="J2" s="4">
        <v>49</v>
      </c>
      <c r="K2" s="4"/>
      <c r="L2" s="4"/>
      <c r="M2" s="4"/>
      <c r="N2" s="4"/>
      <c r="O2" s="4">
        <v>164726</v>
      </c>
      <c r="P2"/>
      <c r="Q2"/>
      <c r="R2"/>
      <c r="S2" s="1">
        <f>H2*24+I2+J2/60+K2/3600</f>
        <v>594.81666666666672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24</v>
      </c>
      <c r="I3" s="4">
        <v>18</v>
      </c>
      <c r="J3" s="4">
        <v>50</v>
      </c>
      <c r="K3" s="4"/>
      <c r="L3" s="4"/>
      <c r="M3" s="4"/>
      <c r="N3" s="4"/>
      <c r="O3" s="4">
        <v>172890</v>
      </c>
      <c r="P3"/>
      <c r="Q3"/>
      <c r="R3"/>
      <c r="S3" s="1">
        <f>H3*24+I3+J3/60+K3/3600</f>
        <v>594.83333333333337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24</v>
      </c>
      <c r="I4" s="4">
        <v>18</v>
      </c>
      <c r="J4" s="4">
        <v>51</v>
      </c>
      <c r="K4" s="4"/>
      <c r="L4" s="4"/>
      <c r="M4" s="4"/>
      <c r="N4" s="4"/>
      <c r="O4" s="4">
        <v>170208</v>
      </c>
      <c r="P4"/>
      <c r="Q4"/>
      <c r="R4"/>
      <c r="S4" s="1">
        <f>H4*24+I4+J4/60+K4/3600</f>
        <v>594.85</v>
      </c>
      <c r="T4"/>
      <c r="U4"/>
    </row>
    <row r="5" spans="1:21">
      <c r="A5"/>
      <c r="C5" s="1" t="s">
        <v>34</v>
      </c>
      <c r="D5" s="1" t="s">
        <v>35</v>
      </c>
      <c r="E5"/>
      <c r="F5" s="4"/>
      <c r="G5" s="4"/>
      <c r="H5" s="4"/>
      <c r="I5" s="4"/>
      <c r="J5" s="4"/>
      <c r="K5" s="4"/>
      <c r="L5" s="4"/>
      <c r="M5" s="4"/>
      <c r="N5" s="4"/>
      <c r="O5" s="4"/>
      <c r="P5"/>
      <c r="Q5"/>
      <c r="R5"/>
      <c r="S5"/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24</v>
      </c>
      <c r="I7" s="4">
        <v>20</v>
      </c>
      <c r="J7" s="4">
        <v>59</v>
      </c>
      <c r="K7" s="4"/>
      <c r="L7" s="4"/>
      <c r="M7" s="4"/>
      <c r="N7" s="4"/>
      <c r="O7" s="4">
        <v>149056</v>
      </c>
      <c r="P7"/>
      <c r="Q7"/>
      <c r="R7"/>
      <c r="S7" s="1">
        <f>H7*24+I7+J7/60+K7/3600</f>
        <v>596.98333333333335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24</v>
      </c>
      <c r="I8" s="4">
        <v>21</v>
      </c>
      <c r="J8" s="4">
        <v>0</v>
      </c>
      <c r="K8" s="4"/>
      <c r="L8" s="4"/>
      <c r="M8" s="4"/>
      <c r="N8" s="4"/>
      <c r="O8" s="4">
        <v>156659</v>
      </c>
      <c r="P8"/>
      <c r="Q8"/>
      <c r="R8"/>
      <c r="S8" s="1">
        <f>H8*24+I8+J8/60+K8/3600</f>
        <v>597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24</v>
      </c>
      <c r="I9" s="4">
        <v>21</v>
      </c>
      <c r="J9" s="4">
        <v>1</v>
      </c>
      <c r="K9" s="4"/>
      <c r="L9" s="4"/>
      <c r="M9" s="4"/>
      <c r="N9" s="4"/>
      <c r="O9" s="4">
        <v>155427</v>
      </c>
      <c r="P9"/>
      <c r="Q9"/>
      <c r="R9"/>
      <c r="S9" s="1">
        <f>H9*24+I9+J9/60+K9/3600</f>
        <v>597.01666666666665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24</v>
      </c>
      <c r="I10" s="4">
        <v>21</v>
      </c>
      <c r="J10" s="4">
        <v>2</v>
      </c>
      <c r="K10" s="4"/>
      <c r="L10" s="4"/>
      <c r="M10" s="4"/>
      <c r="N10" s="4"/>
      <c r="O10" s="4">
        <v>158546</v>
      </c>
      <c r="P10"/>
      <c r="Q10"/>
      <c r="R10"/>
      <c r="S10" s="1">
        <f>H10*24+I10+J10/60+K10/3600</f>
        <v>597.0333333333333</v>
      </c>
      <c r="T10"/>
      <c r="U10"/>
    </row>
    <row r="11" spans="1:21">
      <c r="A11"/>
      <c r="C11" s="1" t="s">
        <v>34</v>
      </c>
      <c r="D11" s="1" t="s">
        <v>37</v>
      </c>
      <c r="E11"/>
      <c r="F11" s="4">
        <v>2013</v>
      </c>
      <c r="G11" s="4">
        <v>7</v>
      </c>
      <c r="H11" s="4">
        <v>24</v>
      </c>
      <c r="I11" s="4">
        <v>21</v>
      </c>
      <c r="J11" s="4">
        <v>3</v>
      </c>
      <c r="K11" s="4"/>
      <c r="L11" s="4"/>
      <c r="M11" s="4"/>
      <c r="N11" s="4"/>
      <c r="O11" s="4">
        <v>155869</v>
      </c>
      <c r="P11"/>
      <c r="Q11"/>
      <c r="R11"/>
      <c r="S11" s="1">
        <f>H11*24+I11+J11/60+K11/3600</f>
        <v>597.04999999999995</v>
      </c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46">
        <f>AVERAGE(O2:O6)</f>
        <v>169274.66666666666</v>
      </c>
      <c r="Q15" s="8">
        <f>F15/O15</f>
        <v>5.3445681968556036E-2</v>
      </c>
      <c r="S15" s="1">
        <f>AVERAGE(S2:S6)</f>
        <v>594.83333333333337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46">
        <f>AVERAGE(O7:O11)</f>
        <v>155111.4</v>
      </c>
      <c r="Q16" s="1">
        <f>F15/O16</f>
        <v>5.8325822602336132E-2</v>
      </c>
      <c r="S16" s="1">
        <f>AVERAGE(S7:S11)</f>
        <v>597.01666666666665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24</v>
      </c>
      <c r="I19" s="4">
        <v>19</v>
      </c>
      <c r="J19" s="4">
        <v>3</v>
      </c>
      <c r="K19" s="4"/>
      <c r="L19" s="4"/>
      <c r="M19" s="4"/>
      <c r="N19" s="4"/>
      <c r="O19" s="4">
        <v>22614</v>
      </c>
      <c r="Q19" s="13">
        <f>O19*$Q$15</f>
        <v>1208.6206520369262</v>
      </c>
      <c r="R19" s="14"/>
      <c r="S19" s="1">
        <f>H19*24+I19+J19/60+K19/3600</f>
        <v>595.04999999999995</v>
      </c>
      <c r="T19" s="15">
        <f>Q15+(Q16-Q15)*(S19-S15)/(S16-S15)</f>
        <v>5.3929970733740146E-2</v>
      </c>
      <c r="U19" s="16">
        <f>O19*T19</f>
        <v>1219.5723581727996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24</v>
      </c>
      <c r="I20" s="4">
        <v>19</v>
      </c>
      <c r="J20" s="4">
        <v>4</v>
      </c>
      <c r="K20" s="4"/>
      <c r="L20" s="4"/>
      <c r="M20" s="4"/>
      <c r="N20" s="4"/>
      <c r="O20" s="4">
        <v>27542</v>
      </c>
      <c r="Q20" s="13">
        <f>O20*$Q$15</f>
        <v>1472.0009727779704</v>
      </c>
      <c r="R20" s="14"/>
      <c r="S20" s="1">
        <f>H20*24+I20+J20/60+K20/3600</f>
        <v>595.06666666666672</v>
      </c>
      <c r="T20" s="15">
        <f>Q15+(Q16-Q15)*(S20-S15)/(S16-S15)</f>
        <v>5.3967223715677616E-2</v>
      </c>
      <c r="U20" s="16">
        <f>O20*T20</f>
        <v>1486.365275577193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24</v>
      </c>
      <c r="I21" s="4">
        <v>19</v>
      </c>
      <c r="J21" s="4">
        <v>5</v>
      </c>
      <c r="K21" s="4"/>
      <c r="L21" s="4"/>
      <c r="M21" s="4"/>
      <c r="N21" s="4"/>
      <c r="O21" s="4">
        <v>23658</v>
      </c>
      <c r="Q21" s="13">
        <f>O21*$Q$15</f>
        <v>1264.4179440120986</v>
      </c>
      <c r="R21" s="14"/>
      <c r="S21" s="1">
        <f>H21*24+I21+J21/60+K21/3600</f>
        <v>595.08333333333337</v>
      </c>
      <c r="T21" s="15">
        <f>Q15+(Q16-Q15)*(S21-S15)/(S16-S15)</f>
        <v>5.4004476697614837E-2</v>
      </c>
      <c r="U21" s="16">
        <f>O21*T21</f>
        <v>1277.6379097121719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24</v>
      </c>
      <c r="I22" s="4">
        <v>19</v>
      </c>
      <c r="J22" s="4">
        <v>6</v>
      </c>
      <c r="K22" s="4"/>
      <c r="L22" s="4"/>
      <c r="M22" s="4"/>
      <c r="N22" s="4"/>
      <c r="O22" s="4">
        <v>24125</v>
      </c>
      <c r="Q22" s="13">
        <f>O22*$Q$15</f>
        <v>1289.3770774914144</v>
      </c>
      <c r="R22" s="14"/>
      <c r="S22" s="1">
        <f>H22*24+I22+J22/60+K22/3600</f>
        <v>595.1</v>
      </c>
      <c r="T22" s="15">
        <f>Q15+(Q16-Q15)*(S22-S15)/(S16-S15)</f>
        <v>5.4041729679552057E-2</v>
      </c>
      <c r="U22" s="16">
        <f>O22*T22</f>
        <v>1303.7567285191933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24</v>
      </c>
      <c r="I23" s="4">
        <v>19</v>
      </c>
      <c r="J23" s="4">
        <v>17</v>
      </c>
      <c r="K23" s="4"/>
      <c r="L23" s="4"/>
      <c r="M23" s="4"/>
      <c r="N23" s="4"/>
      <c r="O23" s="4">
        <v>25811</v>
      </c>
      <c r="Q23" s="13">
        <f>O23*$Q$15</f>
        <v>1379.4864972903999</v>
      </c>
      <c r="R23" s="14"/>
      <c r="S23" s="1">
        <f>H23*24+I23+J23/60+K23/3600</f>
        <v>595.2833333333333</v>
      </c>
      <c r="T23" s="15">
        <f>Q15+(Q16-Q15)*(S23-S15)/(S16-S15)</f>
        <v>5.4451512480861726E-2</v>
      </c>
      <c r="U23" s="16">
        <f>O23*T23</f>
        <v>1405.447988643522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24</v>
      </c>
      <c r="I24" s="4">
        <v>19</v>
      </c>
      <c r="J24" s="4">
        <v>18</v>
      </c>
      <c r="K24" s="4"/>
      <c r="L24" s="4"/>
      <c r="M24" s="4"/>
      <c r="N24" s="4"/>
      <c r="O24" s="4">
        <v>18448</v>
      </c>
      <c r="Q24" s="13">
        <f>O24*$Q$15</f>
        <v>985.96594095592172</v>
      </c>
      <c r="R24" s="14"/>
      <c r="S24" s="1">
        <f>H24*24+I24+J24/60+K24/3600</f>
        <v>595.29999999999995</v>
      </c>
      <c r="T24" s="15">
        <f>Q15+(Q16-Q15)*(S24-S15)/(S16-S15)</f>
        <v>5.4488765462798947E-2</v>
      </c>
      <c r="U24" s="16">
        <f>O24*T24</f>
        <v>1005.208745257715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24</v>
      </c>
      <c r="I25" s="4">
        <v>19</v>
      </c>
      <c r="J25" s="4">
        <v>19</v>
      </c>
      <c r="K25" s="4"/>
      <c r="L25" s="4"/>
      <c r="M25" s="4"/>
      <c r="N25" s="4"/>
      <c r="O25" s="4">
        <v>18376</v>
      </c>
      <c r="Q25" s="13">
        <f>O25*$Q$15</f>
        <v>982.11785185418569</v>
      </c>
      <c r="R25" s="14"/>
      <c r="S25" s="1">
        <f>H25*24+I25+J25/60+K25/3600</f>
        <v>595.31666666666672</v>
      </c>
      <c r="T25" s="15">
        <f>Q15+(Q16-Q15)*(S25-S15)/(S16-S15)</f>
        <v>5.4526018444736424E-2</v>
      </c>
      <c r="U25" s="16">
        <f>O25*T25</f>
        <v>1001.9701149404765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24</v>
      </c>
      <c r="I26" s="4">
        <v>19</v>
      </c>
      <c r="J26" s="4">
        <v>19</v>
      </c>
      <c r="K26" s="4"/>
      <c r="L26" s="4"/>
      <c r="M26" s="4"/>
      <c r="N26" s="4"/>
      <c r="O26" s="4">
        <v>18243</v>
      </c>
      <c r="Q26" s="13">
        <f>O26*$Q$15</f>
        <v>975.0095761523678</v>
      </c>
      <c r="R26" s="14"/>
      <c r="S26" s="1">
        <f>H26*24+I26+J26/60+K26/3600</f>
        <v>595.31666666666672</v>
      </c>
      <c r="T26" s="15">
        <f>Q15+(Q16-Q15)*(S26-S15)/(S16-S15)</f>
        <v>5.4526018444736424E-2</v>
      </c>
      <c r="U26" s="16">
        <f>O26*T26</f>
        <v>994.71815448732661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24</v>
      </c>
      <c r="I27" s="4">
        <v>19</v>
      </c>
      <c r="J27" s="4">
        <v>20</v>
      </c>
      <c r="K27" s="4"/>
      <c r="L27" s="4"/>
      <c r="M27" s="4"/>
      <c r="N27" s="4"/>
      <c r="O27" s="4">
        <v>18931</v>
      </c>
      <c r="Q27" s="13">
        <f>O27*$Q$15</f>
        <v>1011.7802053467343</v>
      </c>
      <c r="R27" s="14"/>
      <c r="S27" s="1">
        <f>H27*24+I27+J27/60+K27/3600</f>
        <v>595.33333333333337</v>
      </c>
      <c r="T27" s="15">
        <f>Q15+(Q16-Q15)*(S27-S15)/(S16-S15)</f>
        <v>5.4563271426673644E-2</v>
      </c>
      <c r="U27" s="16">
        <f>O27*T27</f>
        <v>1032.9372913783589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24</v>
      </c>
      <c r="I28" s="4">
        <v>19</v>
      </c>
      <c r="J28" s="4">
        <v>21</v>
      </c>
      <c r="K28" s="4"/>
      <c r="L28" s="4"/>
      <c r="M28" s="4"/>
      <c r="N28" s="4"/>
      <c r="O28" s="4">
        <v>20451</v>
      </c>
      <c r="Q28" s="13">
        <f>O28*$Q$15</f>
        <v>1093.0176419389395</v>
      </c>
      <c r="R28" s="14"/>
      <c r="S28" s="1">
        <f>H28*24+I28+J28/60+K28/3600</f>
        <v>595.35</v>
      </c>
      <c r="T28" s="15">
        <f>Q15+(Q16-Q15)*(S28-S15)/(S16-S15)</f>
        <v>5.4600524408610865E-2</v>
      </c>
      <c r="U28" s="16">
        <f>O28*T28</f>
        <v>1116.6353246805008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24</v>
      </c>
      <c r="I29" s="4">
        <v>19</v>
      </c>
      <c r="J29" s="4">
        <v>22</v>
      </c>
      <c r="K29" s="4"/>
      <c r="L29" s="4"/>
      <c r="M29" s="4"/>
      <c r="N29" s="4"/>
      <c r="O29" s="4">
        <v>18672</v>
      </c>
      <c r="Q29" s="13">
        <f>O29*$Q$15</f>
        <v>997.93777371687827</v>
      </c>
      <c r="R29" s="14"/>
      <c r="S29" s="1">
        <f>H29*24+I29+J29/60+K29/3600</f>
        <v>595.36666666666667</v>
      </c>
      <c r="T29" s="15">
        <f>Q15+(Q16-Q15)*(S29-S15)/(S16-S15)</f>
        <v>5.4637777390548078E-2</v>
      </c>
      <c r="U29" s="16">
        <f>O29*T29</f>
        <v>1020.1965794363138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24</v>
      </c>
      <c r="I30" s="4">
        <v>19</v>
      </c>
      <c r="J30" s="4">
        <v>48</v>
      </c>
      <c r="K30" s="4"/>
      <c r="L30" s="4"/>
      <c r="M30" s="4"/>
      <c r="N30" s="4"/>
      <c r="O30" s="4">
        <v>17696</v>
      </c>
      <c r="Q30" s="13">
        <f>O30*$Q$15</f>
        <v>945.77478811556762</v>
      </c>
      <c r="R30" s="14"/>
      <c r="S30" s="1">
        <f>H30*24+I30+J30/60+K30/3600</f>
        <v>595.79999999999995</v>
      </c>
      <c r="T30" s="15">
        <f>Q15+(Q16-Q15)*(S30-S15)/(S16-S15)</f>
        <v>5.5606354920916555E-2</v>
      </c>
      <c r="U30" s="16">
        <f>O30*T30</f>
        <v>984.01005668053938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24</v>
      </c>
      <c r="I31" s="4">
        <v>19</v>
      </c>
      <c r="J31" s="4">
        <v>49</v>
      </c>
      <c r="K31" s="4"/>
      <c r="L31" s="4"/>
      <c r="M31" s="4"/>
      <c r="N31" s="4"/>
      <c r="O31" s="4">
        <v>18762</v>
      </c>
      <c r="Q31" s="13">
        <f>O31*$Q$15</f>
        <v>1002.7478850940483</v>
      </c>
      <c r="R31" s="14"/>
      <c r="S31" s="1">
        <f>H31*24+I31+J31/60+K31/3600</f>
        <v>595.81666666666672</v>
      </c>
      <c r="T31" s="15">
        <f>Q15+(Q16-Q15)*(S31-S15)/(S16-S15)</f>
        <v>5.5643607902854025E-2</v>
      </c>
      <c r="U31" s="16">
        <f>O31*T31</f>
        <v>1043.9853714733472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24</v>
      </c>
      <c r="I32" s="4">
        <v>19</v>
      </c>
      <c r="J32" s="4">
        <v>50</v>
      </c>
      <c r="K32" s="4"/>
      <c r="L32" s="4"/>
      <c r="M32" s="4"/>
      <c r="N32" s="4"/>
      <c r="O32" s="4">
        <v>10848</v>
      </c>
      <c r="Q32" s="13">
        <f>O32*$Q$15</f>
        <v>579.77875799489584</v>
      </c>
      <c r="R32" s="14"/>
      <c r="S32" s="1">
        <f>H32*24+I32+J32/60+K32/3600</f>
        <v>595.83333333333337</v>
      </c>
      <c r="T32" s="15">
        <f>Q15+(Q16-Q15)*(S32-S15)/(S16-S15)</f>
        <v>5.5680860884791246E-2</v>
      </c>
      <c r="U32" s="16">
        <f>O32*T32</f>
        <v>604.02597887821548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24</v>
      </c>
      <c r="I33" s="4">
        <v>19</v>
      </c>
      <c r="J33" s="4">
        <v>7</v>
      </c>
      <c r="K33" s="4"/>
      <c r="L33" s="4"/>
      <c r="M33" s="4"/>
      <c r="N33" s="4"/>
      <c r="O33" s="4">
        <v>30982</v>
      </c>
      <c r="Q33" s="13">
        <f>O33*$Q$15</f>
        <v>1655.8541187498031</v>
      </c>
      <c r="R33" s="14"/>
      <c r="S33" s="1">
        <f>H33*24+I33+J33/60+K33/3600</f>
        <v>595.11666666666667</v>
      </c>
      <c r="T33" s="15">
        <f>Q15+(Q16-Q15)*(S33-S15)/(S16-S15)</f>
        <v>5.4078982661489278E-2</v>
      </c>
      <c r="U33" s="16">
        <f>O33*T33</f>
        <v>1675.4750408182608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24</v>
      </c>
      <c r="I34" s="4">
        <v>19</v>
      </c>
      <c r="J34" s="4">
        <v>8</v>
      </c>
      <c r="K34" s="4"/>
      <c r="L34" s="4"/>
      <c r="M34" s="4"/>
      <c r="N34" s="4"/>
      <c r="O34" s="4">
        <v>32019</v>
      </c>
      <c r="Q34" s="13">
        <f>O34*$Q$15</f>
        <v>1711.2772909511957</v>
      </c>
      <c r="R34" s="14"/>
      <c r="S34" s="1">
        <f>H34*24+I34+J34/60+K34/3600</f>
        <v>595.13333333333333</v>
      </c>
      <c r="T34" s="15">
        <f>Q15+(Q16-Q15)*(S34-S15)/(S16-S15)</f>
        <v>5.4116235643426498E-2</v>
      </c>
      <c r="U34" s="16">
        <f>O34*T34</f>
        <v>1732.747749066873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24</v>
      </c>
      <c r="I35" s="4">
        <v>19</v>
      </c>
      <c r="J35" s="4">
        <v>52</v>
      </c>
      <c r="K35" s="4"/>
      <c r="L35" s="4"/>
      <c r="M35" s="4"/>
      <c r="N35" s="4"/>
      <c r="O35" s="4">
        <v>48704</v>
      </c>
      <c r="Q35" s="13">
        <f>O35*$Q$15</f>
        <v>2603.018494596553</v>
      </c>
      <c r="R35" s="14"/>
      <c r="S35" s="1">
        <f>H35*24+I35+J35/60+K35/3600</f>
        <v>595.86666666666667</v>
      </c>
      <c r="T35" s="15">
        <f>Q15+(Q16-Q15)*(S35-S15)/(S16-S15)</f>
        <v>5.5755366848665687E-2</v>
      </c>
      <c r="U35" s="16">
        <f>O35*T35</f>
        <v>2715.5093869974135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24</v>
      </c>
      <c r="I36" s="4">
        <v>19</v>
      </c>
      <c r="J36" s="6">
        <v>53</v>
      </c>
      <c r="K36" s="6"/>
      <c r="L36" s="6"/>
      <c r="M36" s="6"/>
      <c r="N36" s="6"/>
      <c r="O36" s="6">
        <v>38168</v>
      </c>
      <c r="P36" s="5"/>
      <c r="Q36" s="21">
        <f>O36*$Q$15</f>
        <v>2039.9147893758468</v>
      </c>
      <c r="R36" s="22"/>
      <c r="S36" s="5">
        <f>H36*24+I36+J36/60+K36/3600</f>
        <v>595.88333333333333</v>
      </c>
      <c r="T36" s="23">
        <f>Q15+(Q16-Q15)*(S36-S15)/(S16-S15)</f>
        <v>5.5792619830602908E-2</v>
      </c>
      <c r="U36" s="24">
        <f>O36*T36</f>
        <v>2129.4927136944516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24</v>
      </c>
      <c r="I37" s="4">
        <v>19</v>
      </c>
      <c r="J37" s="4">
        <v>54</v>
      </c>
      <c r="K37" s="4"/>
      <c r="L37" s="4"/>
      <c r="M37" s="4"/>
      <c r="N37" s="4"/>
      <c r="O37" s="4">
        <v>39910</v>
      </c>
      <c r="Q37" s="13">
        <f>O37*$Q$15</f>
        <v>2133.0171673650716</v>
      </c>
      <c r="R37" s="14"/>
      <c r="S37" s="1">
        <f>H37*24+I37+J37/60+K37/3600</f>
        <v>595.9</v>
      </c>
      <c r="T37" s="15">
        <f>Q15+(Q16-Q15)*(S37-S15)/(S16-S15)</f>
        <v>5.5829872812540128E-2</v>
      </c>
      <c r="U37" s="16">
        <f>O37*T37</f>
        <v>2228.1702239484766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24</v>
      </c>
      <c r="I38" s="4">
        <v>19</v>
      </c>
      <c r="J38" s="4">
        <v>55</v>
      </c>
      <c r="K38" s="4"/>
      <c r="L38" s="4"/>
      <c r="M38" s="4"/>
      <c r="N38" s="4"/>
      <c r="O38" s="4">
        <v>30955</v>
      </c>
      <c r="Q38" s="13">
        <f>O38*$Q$15</f>
        <v>1654.4110853366521</v>
      </c>
      <c r="R38" s="14"/>
      <c r="S38" s="1">
        <f>H38*24+I38+J38/60+K38/3600</f>
        <v>595.91666666666663</v>
      </c>
      <c r="T38" s="15">
        <f>Q15+(Q16-Q15)*(S38-S15)/(S16-S15)</f>
        <v>5.5867125794477349E-2</v>
      </c>
      <c r="U38" s="16">
        <f>O38*T38</f>
        <v>1729.3668789680464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24</v>
      </c>
      <c r="I39" s="4">
        <v>20</v>
      </c>
      <c r="J39" s="6">
        <v>0</v>
      </c>
      <c r="K39" s="6"/>
      <c r="L39" s="6"/>
      <c r="M39" s="6"/>
      <c r="N39" s="6"/>
      <c r="O39" s="6">
        <v>28189</v>
      </c>
      <c r="P39" s="5"/>
      <c r="Q39" s="21">
        <f>O39*$Q$15</f>
        <v>1506.5803290116262</v>
      </c>
      <c r="R39" s="22"/>
      <c r="S39" s="5">
        <f>H39*24+I39+J39/60+K39/3600</f>
        <v>596</v>
      </c>
      <c r="T39" s="23">
        <f>Q15+(Q16-Q15)*(S39-S15)/(S16-S15)</f>
        <v>5.6053390704163701E-2</v>
      </c>
      <c r="U39" s="24">
        <f>O39*T39</f>
        <v>1580.0890305596706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24</v>
      </c>
      <c r="I40" s="4">
        <v>20</v>
      </c>
      <c r="J40" s="4">
        <v>1</v>
      </c>
      <c r="K40" s="4"/>
      <c r="L40" s="4"/>
      <c r="M40" s="4"/>
      <c r="N40" s="4"/>
      <c r="O40" s="4">
        <v>26968</v>
      </c>
      <c r="Q40" s="13">
        <f>O40*$Q$15</f>
        <v>1441.3231513280191</v>
      </c>
      <c r="R40" s="14"/>
      <c r="S40" s="1">
        <f>H40*24+I40+J40/60+K40/3600</f>
        <v>596.01666666666665</v>
      </c>
      <c r="T40" s="15">
        <f>Q15+(Q16-Q15)*(S40-S15)/(S16-S15)</f>
        <v>5.6090643686100922E-2</v>
      </c>
      <c r="U40" s="16">
        <f>O40*T40</f>
        <v>1512.6524789267696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24</v>
      </c>
      <c r="I41" s="4">
        <v>20</v>
      </c>
      <c r="J41" s="4">
        <v>2</v>
      </c>
      <c r="K41" s="4"/>
      <c r="L41" s="4"/>
      <c r="M41" s="4"/>
      <c r="N41" s="4"/>
      <c r="O41" s="4">
        <v>28278</v>
      </c>
      <c r="Q41" s="13">
        <f>O41*$Q$15</f>
        <v>1511.3369947068277</v>
      </c>
      <c r="R41" s="14"/>
      <c r="S41" s="1">
        <f>H41*24+I41+J41/60+K41/3600</f>
        <v>596.0333333333333</v>
      </c>
      <c r="T41" s="15">
        <f>Q15+(Q16-Q15)*(S41-S15)/(S16-S15)</f>
        <v>5.6127896668038135E-2</v>
      </c>
      <c r="U41" s="16">
        <f>O41*T41</f>
        <v>1587.1846619787823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24</v>
      </c>
      <c r="I42" s="4">
        <v>20</v>
      </c>
      <c r="J42" s="4">
        <v>3</v>
      </c>
      <c r="K42" s="4"/>
      <c r="L42" s="4"/>
      <c r="M42" s="4"/>
      <c r="N42" s="4"/>
      <c r="O42" s="4">
        <v>27891</v>
      </c>
      <c r="Q42" s="13">
        <f>O42*$Q$15</f>
        <v>1490.6535157849964</v>
      </c>
      <c r="R42" s="14"/>
      <c r="S42" s="1">
        <f>H42*24+I42+J42/60+K42/3600</f>
        <v>596.04999999999995</v>
      </c>
      <c r="T42" s="15">
        <f>Q15+(Q16-Q15)*(S42-S15)/(S16-S15)</f>
        <v>5.6165149649975356E-2</v>
      </c>
      <c r="U42" s="16">
        <f>O42*T42</f>
        <v>1566.5021888874626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24</v>
      </c>
      <c r="I43" s="4">
        <v>20</v>
      </c>
      <c r="J43" s="4">
        <v>4</v>
      </c>
      <c r="K43" s="4"/>
      <c r="L43" s="4"/>
      <c r="M43" s="4"/>
      <c r="N43" s="4"/>
      <c r="O43" s="4">
        <v>36099</v>
      </c>
      <c r="Q43" s="13">
        <f>O43*$Q$15</f>
        <v>1929.3356733829044</v>
      </c>
      <c r="R43" s="14"/>
      <c r="S43" s="1">
        <f>H43*24+I43+J43/60+K43/3600</f>
        <v>596.06666666666672</v>
      </c>
      <c r="T43" s="15">
        <f>Q15+(Q16-Q15)*(S43-S15)/(S16-S15)</f>
        <v>5.6202402631912833E-2</v>
      </c>
      <c r="U43" s="16">
        <f>O43*T43</f>
        <v>2028.8505326094214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24</v>
      </c>
      <c r="I44" s="4">
        <v>20</v>
      </c>
      <c r="J44" s="4">
        <v>4</v>
      </c>
      <c r="K44" s="4"/>
      <c r="L44" s="4"/>
      <c r="M44" s="4"/>
      <c r="N44" s="4"/>
      <c r="O44" s="4">
        <v>32160</v>
      </c>
      <c r="Q44" s="13">
        <f>O44*$Q$15</f>
        <v>1718.8131321087621</v>
      </c>
      <c r="R44" s="14"/>
      <c r="S44" s="1">
        <f>H44*24+I44+J44/60+K44/3600</f>
        <v>596.06666666666672</v>
      </c>
      <c r="T44" s="15">
        <f>Q15+(Q16-Q15)*(S44-S15)/(S16-S15)</f>
        <v>5.6202402631912833E-2</v>
      </c>
      <c r="U44" s="16">
        <f>O44*T44</f>
        <v>1807.4692686423168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24</v>
      </c>
      <c r="I45" s="4">
        <v>20</v>
      </c>
      <c r="J45" s="4">
        <v>7</v>
      </c>
      <c r="K45" s="4"/>
      <c r="L45" s="4"/>
      <c r="M45" s="4"/>
      <c r="N45" s="4"/>
      <c r="O45" s="4">
        <v>36483</v>
      </c>
      <c r="Q45" s="13">
        <f>O45*$Q$15</f>
        <v>1949.85881525883</v>
      </c>
      <c r="R45" s="14"/>
      <c r="S45" s="1">
        <f>H45*24+I45+J45/60+K45/3600</f>
        <v>596.11666666666667</v>
      </c>
      <c r="T45" s="15">
        <f>Q15+(Q16-Q15)*(S45-S15)/(S16-S15)</f>
        <v>5.6314161577724488E-2</v>
      </c>
      <c r="U45" s="16">
        <f>O45*T45</f>
        <v>2054.5095568401225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24</v>
      </c>
      <c r="I46" s="4">
        <v>20</v>
      </c>
      <c r="J46" s="4">
        <v>8</v>
      </c>
      <c r="K46" s="4"/>
      <c r="L46" s="4"/>
      <c r="M46" s="4"/>
      <c r="N46" s="4"/>
      <c r="O46" s="4">
        <v>25998</v>
      </c>
      <c r="Q46" s="13">
        <f>O46*$Q$15</f>
        <v>1389.4808398185198</v>
      </c>
      <c r="R46" s="14"/>
      <c r="S46" s="1">
        <f>H46*24+I46+J46/60+K46/3600</f>
        <v>596.13333333333333</v>
      </c>
      <c r="T46" s="15">
        <f>Q15+(Q16-Q15)*(S46-S15)/(S16-S15)</f>
        <v>5.6351414559661708E-2</v>
      </c>
      <c r="U46" s="16">
        <f>O46*T46</f>
        <v>1465.0240757220852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24</v>
      </c>
      <c r="I47" s="4">
        <v>19</v>
      </c>
      <c r="J47" s="4">
        <v>9</v>
      </c>
      <c r="K47" s="4"/>
      <c r="L47" s="4"/>
      <c r="M47" s="4"/>
      <c r="N47" s="4"/>
      <c r="O47" s="4">
        <v>32083</v>
      </c>
      <c r="Q47" s="13">
        <f>O47*$Q$15</f>
        <v>1714.6978145971832</v>
      </c>
      <c r="R47" s="14"/>
      <c r="S47" s="1">
        <f>H47*24+I47+J47/60+K47/3600</f>
        <v>595.15</v>
      </c>
      <c r="T47" s="15">
        <f>Q15+(Q16-Q15)*(S47-S15)/(S16-S15)</f>
        <v>5.4153488625363719E-2</v>
      </c>
      <c r="U47" s="16">
        <f>O47*T47</f>
        <v>1737.4063755675443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24</v>
      </c>
      <c r="I48" s="4">
        <v>19</v>
      </c>
      <c r="J48" s="4">
        <v>10</v>
      </c>
      <c r="K48" s="4"/>
      <c r="L48" s="4"/>
      <c r="M48" s="4"/>
      <c r="N48" s="4"/>
      <c r="O48" s="4">
        <v>33779</v>
      </c>
      <c r="Q48" s="13">
        <f>O48*$Q$15</f>
        <v>1805.3416912158543</v>
      </c>
      <c r="R48" s="14"/>
      <c r="S48" s="1">
        <f>H48*24+I48+J48/60+K48/3600</f>
        <v>595.16666666666663</v>
      </c>
      <c r="T48" s="15">
        <f>Q15+(Q16-Q15)*(S48-S15)/(S16-S15)</f>
        <v>5.4190741607300939E-2</v>
      </c>
      <c r="U48" s="16">
        <f>O48*T48</f>
        <v>1830.5090607530185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24</v>
      </c>
      <c r="I49" s="4">
        <v>20</v>
      </c>
      <c r="J49" s="4">
        <v>9</v>
      </c>
      <c r="K49" s="4"/>
      <c r="L49" s="4"/>
      <c r="M49" s="4"/>
      <c r="N49" s="4"/>
      <c r="O49" s="4">
        <v>33408</v>
      </c>
      <c r="Q49" s="13">
        <f>O49*$Q$15</f>
        <v>1785.51334320552</v>
      </c>
      <c r="R49" s="14"/>
      <c r="S49" s="1">
        <f>H49*24+I49+J49/60+K49/3600</f>
        <v>596.15</v>
      </c>
      <c r="T49" s="15">
        <f>Q15+(Q16-Q15)*(S49-S15)/(S16-S15)</f>
        <v>5.6388667541598929E-2</v>
      </c>
      <c r="U49" s="16">
        <f>O49*T49</f>
        <v>1883.8326052297371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24</v>
      </c>
      <c r="I50" s="4">
        <v>20</v>
      </c>
      <c r="J50" s="4">
        <v>10</v>
      </c>
      <c r="K50" s="4"/>
      <c r="L50" s="4"/>
      <c r="M50" s="4"/>
      <c r="N50" s="4"/>
      <c r="O50" s="4">
        <v>34109</v>
      </c>
      <c r="Q50" s="13">
        <f>O50*$Q$15</f>
        <v>1822.9787662654778</v>
      </c>
      <c r="R50" s="14"/>
      <c r="S50" s="1">
        <f>H50*24+I50+J50/60+K50/3600</f>
        <v>596.16666666666663</v>
      </c>
      <c r="T50" s="15">
        <f>Q15+(Q16-Q15)*(S50-S15)/(S16-S15)</f>
        <v>5.6425920523536149E-2</v>
      </c>
      <c r="U50" s="16">
        <f>O50*T50</f>
        <v>1924.6317231372946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24</v>
      </c>
      <c r="I51" s="4">
        <v>20</v>
      </c>
      <c r="J51" s="4">
        <v>11</v>
      </c>
      <c r="K51" s="4"/>
      <c r="L51" s="4"/>
      <c r="M51" s="4"/>
      <c r="N51" s="4"/>
      <c r="O51" s="4">
        <v>32982</v>
      </c>
      <c r="Q51" s="13">
        <f>O51*$Q$15</f>
        <v>1762.7454826869152</v>
      </c>
      <c r="R51" s="14"/>
      <c r="S51" s="1">
        <f>H51*24+I51+J51/60+K51/3600</f>
        <v>596.18333333333328</v>
      </c>
      <c r="T51" s="15">
        <f>Q15+(Q16-Q15)*(S51-S15)/(S16-S15)</f>
        <v>5.646317350547337E-2</v>
      </c>
      <c r="U51" s="16">
        <f>O51*T51</f>
        <v>1862.2683885575227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24</v>
      </c>
      <c r="I52" s="4">
        <v>20</v>
      </c>
      <c r="J52" s="4">
        <v>11</v>
      </c>
      <c r="K52" s="4"/>
      <c r="L52" s="4"/>
      <c r="M52" s="4"/>
      <c r="N52" s="4"/>
      <c r="O52" s="4">
        <v>25942</v>
      </c>
      <c r="Q52" s="13">
        <f>O52*$Q$15</f>
        <v>1386.4878816282808</v>
      </c>
      <c r="R52" s="14"/>
      <c r="S52" s="1">
        <f>H52*24+I52+J52/60+K52/3600</f>
        <v>596.18333333333328</v>
      </c>
      <c r="T52" s="15">
        <f>Q15+(Q16-Q15)*(S52-S15)/(S16-S15)</f>
        <v>5.646317350547337E-2</v>
      </c>
      <c r="U52" s="16">
        <f>O52*T52</f>
        <v>1464.7676470789902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24</v>
      </c>
      <c r="I53" s="4">
        <v>20</v>
      </c>
      <c r="J53" s="4">
        <v>12</v>
      </c>
      <c r="K53" s="4"/>
      <c r="L53" s="4"/>
      <c r="M53" s="4"/>
      <c r="N53" s="4"/>
      <c r="O53" s="4">
        <v>26050</v>
      </c>
      <c r="Q53" s="13">
        <f>O53*$Q$15</f>
        <v>1392.2600152808848</v>
      </c>
      <c r="R53" s="14"/>
      <c r="S53" s="1">
        <f>H53*24+I53+J53/60+K53/3600</f>
        <v>596.20000000000005</v>
      </c>
      <c r="T53" s="15">
        <f>Q15+(Q16-Q15)*(S53-S15)/(S16-S15)</f>
        <v>5.650042648741084E-2</v>
      </c>
      <c r="U53" s="16">
        <f>O53*T53</f>
        <v>1471.8361099970523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24</v>
      </c>
      <c r="I54" s="4">
        <v>20</v>
      </c>
      <c r="J54" s="4">
        <v>13</v>
      </c>
      <c r="K54" s="4"/>
      <c r="L54" s="4"/>
      <c r="M54" s="4"/>
      <c r="N54" s="4"/>
      <c r="O54" s="4">
        <v>25686</v>
      </c>
      <c r="Q54" s="13">
        <f>O54*$Q$15</f>
        <v>1372.8057870443304</v>
      </c>
      <c r="R54" s="14"/>
      <c r="S54" s="1">
        <f>H54*24+I54+J54/60+K54/3600</f>
        <v>596.2166666666667</v>
      </c>
      <c r="T54" s="15">
        <f>Q15+(Q16-Q15)*(S54-S15)/(S16-S15)</f>
        <v>5.6537679469348061E-2</v>
      </c>
      <c r="U54" s="16">
        <f>O54*T54</f>
        <v>1452.2268348496743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24</v>
      </c>
      <c r="I55" s="4">
        <v>20</v>
      </c>
      <c r="J55" s="4">
        <v>14</v>
      </c>
      <c r="K55" s="4"/>
      <c r="L55" s="4"/>
      <c r="M55" s="4"/>
      <c r="N55" s="4"/>
      <c r="O55" s="4">
        <v>25619</v>
      </c>
      <c r="Q55" s="13">
        <f>O55*$Q$15</f>
        <v>1369.224926352437</v>
      </c>
      <c r="R55" s="14"/>
      <c r="S55" s="1">
        <f>H55*24+I55+J55/60+K55/3600</f>
        <v>596.23333333333335</v>
      </c>
      <c r="T55" s="15">
        <f>Q15+(Q16-Q15)*(S55-S15)/(S16-S15)</f>
        <v>5.6574932451285281E-2</v>
      </c>
      <c r="U55" s="16">
        <f>O55*T55</f>
        <v>1449.3931944694775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24</v>
      </c>
      <c r="I56" s="4">
        <v>20</v>
      </c>
      <c r="J56" s="4">
        <v>14</v>
      </c>
      <c r="K56" s="4"/>
      <c r="L56" s="4"/>
      <c r="M56" s="4"/>
      <c r="N56" s="4"/>
      <c r="O56" s="4">
        <v>26589</v>
      </c>
      <c r="Q56" s="13">
        <f>O56*$Q$15</f>
        <v>1421.0672378619365</v>
      </c>
      <c r="R56" s="14"/>
      <c r="S56" s="1">
        <f>H56*24+I56+J56/60+K56/3600</f>
        <v>596.23333333333335</v>
      </c>
      <c r="T56" s="15">
        <f>Q15+(Q16-Q15)*(S56-S15)/(S16-S15)</f>
        <v>5.6574932451285281E-2</v>
      </c>
      <c r="U56" s="16">
        <f>O56*T56</f>
        <v>1504.2708789472244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24</v>
      </c>
      <c r="I57" s="4">
        <v>20</v>
      </c>
      <c r="J57" s="4">
        <v>15</v>
      </c>
      <c r="K57" s="4"/>
      <c r="L57" s="4"/>
      <c r="M57" s="4"/>
      <c r="N57" s="4"/>
      <c r="O57" s="4">
        <v>49923</v>
      </c>
      <c r="Q57" s="13">
        <f>O57*$Q$15</f>
        <v>2668.1687809162231</v>
      </c>
      <c r="R57" s="14"/>
      <c r="S57" s="1">
        <f>H57*24+I57+J57/60+K57/3600</f>
        <v>596.25</v>
      </c>
      <c r="T57" s="15">
        <f>Q15+(Q16-Q15)*(S57-S15)/(S16-S15)</f>
        <v>5.6612185433222502E-2</v>
      </c>
      <c r="U57" s="16">
        <f>O57*T57</f>
        <v>2826.2501333827668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24</v>
      </c>
      <c r="I58" s="4">
        <v>20</v>
      </c>
      <c r="J58" s="4">
        <v>16</v>
      </c>
      <c r="K58" s="4"/>
      <c r="L58" s="4"/>
      <c r="M58" s="4"/>
      <c r="N58" s="4"/>
      <c r="O58" s="4">
        <v>42896</v>
      </c>
      <c r="Q58" s="13">
        <f>O58*$Q$15</f>
        <v>2292.6059737231799</v>
      </c>
      <c r="R58" s="14"/>
      <c r="S58" s="1">
        <f>H58*24+I58+J58/60+K58/3600</f>
        <v>596.26666666666665</v>
      </c>
      <c r="T58" s="15">
        <f>Q15+(Q16-Q15)*(S58-S15)/(S16-S15)</f>
        <v>5.6649438415159722E-2</v>
      </c>
      <c r="U58" s="16">
        <f>O58*T58</f>
        <v>2430.0343102566912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24</v>
      </c>
      <c r="I59" s="4">
        <v>20</v>
      </c>
      <c r="J59" s="4">
        <v>17</v>
      </c>
      <c r="K59" s="4"/>
      <c r="L59" s="4"/>
      <c r="M59" s="4"/>
      <c r="N59" s="4"/>
      <c r="O59" s="4">
        <v>36294</v>
      </c>
      <c r="Q59" s="13">
        <f>O59*$Q$15</f>
        <v>1939.7575813667727</v>
      </c>
      <c r="R59" s="14"/>
      <c r="S59" s="1">
        <f>H59*24+I59+J59/60+K59/3600</f>
        <v>596.2833333333333</v>
      </c>
      <c r="T59" s="15">
        <f>Q15+(Q16-Q15)*(S59-S15)/(S16-S15)</f>
        <v>5.6686691397096943E-2</v>
      </c>
      <c r="U59" s="16">
        <f>O59*T59</f>
        <v>2057.3867775662366</v>
      </c>
    </row>
    <row r="60" spans="1:2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>
        <v>24</v>
      </c>
      <c r="I60" s="4">
        <v>20</v>
      </c>
      <c r="J60" s="4">
        <v>18</v>
      </c>
      <c r="K60" s="4"/>
      <c r="L60" s="4"/>
      <c r="M60" s="4"/>
      <c r="N60" s="4"/>
      <c r="O60" s="4">
        <v>43435</v>
      </c>
      <c r="Q60" s="13">
        <f>O60*$Q$15</f>
        <v>2321.4131963042314</v>
      </c>
      <c r="R60" s="14"/>
      <c r="S60" s="1">
        <f>H60*24+I60+J60/60+K60/3600</f>
        <v>596.29999999999995</v>
      </c>
      <c r="T60" s="15">
        <f>Q15+(Q16-Q15)*(S60-S15)/(S16-S15)</f>
        <v>5.6723944379034164E-2</v>
      </c>
      <c r="U60" s="16">
        <f>O60*T60</f>
        <v>2463.8045241033487</v>
      </c>
    </row>
    <row r="61" spans="1:21">
      <c r="A61"/>
      <c r="C61" s="18">
        <v>43</v>
      </c>
      <c r="D61" s="12"/>
      <c r="E61" s="12"/>
      <c r="F61" s="4">
        <v>2013</v>
      </c>
      <c r="G61" s="4">
        <v>7</v>
      </c>
      <c r="H61" s="4">
        <v>24</v>
      </c>
      <c r="I61" s="4">
        <v>20</v>
      </c>
      <c r="J61" s="4">
        <v>22</v>
      </c>
      <c r="K61" s="4"/>
      <c r="L61" s="4"/>
      <c r="M61" s="4"/>
      <c r="N61" s="4"/>
      <c r="O61" s="4">
        <v>36926</v>
      </c>
      <c r="Q61" s="13">
        <f>O61*$Q$15</f>
        <v>1973.5352523709003</v>
      </c>
      <c r="R61" s="14"/>
      <c r="S61" s="1">
        <f>H61*24+I61+J61/60+K61/3600</f>
        <v>596.36666666666667</v>
      </c>
      <c r="T61" s="15">
        <f>Q15+(Q16-Q15)*(S61-S15)/(S16-S15)</f>
        <v>5.6872956306783295E-2</v>
      </c>
      <c r="U61" s="16">
        <f>O61*T61</f>
        <v>2100.0907845842798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24</v>
      </c>
      <c r="I62" s="4">
        <v>20</v>
      </c>
      <c r="J62" s="4">
        <v>23</v>
      </c>
      <c r="K62" s="4"/>
      <c r="L62" s="4"/>
      <c r="M62" s="4"/>
      <c r="N62" s="4"/>
      <c r="O62" s="4">
        <v>44083</v>
      </c>
      <c r="Q62" s="13">
        <f>O62*$Q$15</f>
        <v>2356.0459982198558</v>
      </c>
      <c r="R62" s="14"/>
      <c r="S62" s="1">
        <f>H62*24+I62+J62/60+K62/3600</f>
        <v>596.38333333333333</v>
      </c>
      <c r="T62" s="15">
        <f>Q15+(Q16-Q15)*(S62-S15)/(S16-S15)</f>
        <v>5.6910209288720516E-2</v>
      </c>
      <c r="U62" s="16">
        <f>O62*T62</f>
        <v>2508.7727560746666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24</v>
      </c>
      <c r="I63" s="4">
        <v>20</v>
      </c>
      <c r="J63" s="4">
        <v>25</v>
      </c>
      <c r="K63" s="4"/>
      <c r="L63" s="4"/>
      <c r="M63" s="4"/>
      <c r="N63" s="4"/>
      <c r="O63" s="4">
        <v>36294</v>
      </c>
      <c r="Q63" s="13">
        <f>O63*$Q$15</f>
        <v>1939.7575813667727</v>
      </c>
      <c r="R63" s="14"/>
      <c r="S63" s="1">
        <f>H63*24+I63+J63/60+K63/3600</f>
        <v>596.41666666666663</v>
      </c>
      <c r="T63" s="15">
        <f>Q15+(Q16-Q15)*(S63-S15)/(S16-S15)</f>
        <v>5.698471525259495E-2</v>
      </c>
      <c r="U63" s="16">
        <f>O63*T63</f>
        <v>2068.2032553776812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24</v>
      </c>
      <c r="I64" s="4">
        <v>20</v>
      </c>
      <c r="J64" s="4">
        <v>26</v>
      </c>
      <c r="K64" s="4"/>
      <c r="L64" s="4"/>
      <c r="M64" s="4"/>
      <c r="N64" s="4"/>
      <c r="O64" s="4">
        <v>27078</v>
      </c>
      <c r="Q64" s="13">
        <f>O64*$Q$15</f>
        <v>1447.2021763445603</v>
      </c>
      <c r="R64" s="14"/>
      <c r="S64" s="1">
        <f>H64*24+I64+J64/60+K64/3600</f>
        <v>596.43333333333328</v>
      </c>
      <c r="T64" s="15">
        <f>Q15+(Q16-Q15)*(S64-S15)/(S16-S15)</f>
        <v>5.7021968234532171E-2</v>
      </c>
      <c r="U64" s="16">
        <f>O64*T64</f>
        <v>1544.0408558546621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24</v>
      </c>
      <c r="I65" s="4">
        <v>20</v>
      </c>
      <c r="J65" s="4">
        <v>27</v>
      </c>
      <c r="K65" s="4"/>
      <c r="L65" s="4"/>
      <c r="M65" s="4"/>
      <c r="N65" s="4"/>
      <c r="O65" s="4">
        <v>32058</v>
      </c>
      <c r="Q65" s="13">
        <f>O65*$Q$15</f>
        <v>1713.3616725479694</v>
      </c>
      <c r="R65" s="14"/>
      <c r="S65" s="1">
        <f>H65*24+I65+J65/60+K65/3600</f>
        <v>596.45000000000005</v>
      </c>
      <c r="T65" s="15">
        <f>Q15+(Q16-Q15)*(S65-S15)/(S16-S15)</f>
        <v>5.7059221216469648E-2</v>
      </c>
      <c r="U65" s="16">
        <f>O65*T65</f>
        <v>1829.204513757584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24</v>
      </c>
      <c r="I66" s="4">
        <v>20</v>
      </c>
      <c r="J66" s="1">
        <v>28</v>
      </c>
      <c r="K66" s="4"/>
      <c r="L66" s="4"/>
      <c r="M66" s="4"/>
      <c r="N66" s="4"/>
      <c r="O66" s="4">
        <v>31699</v>
      </c>
      <c r="Q66" s="13">
        <f>O66*$Q$15</f>
        <v>1694.1746727212578</v>
      </c>
      <c r="R66" s="14"/>
      <c r="S66" s="1">
        <f>H66*24+I66+J67/60+K66/3600</f>
        <v>596.4666666666667</v>
      </c>
      <c r="T66" s="15">
        <f>Q15+(Q16-Q15)*(S66-S15)/(S16-S15)</f>
        <v>5.7096474198406869E-2</v>
      </c>
      <c r="U66" s="16">
        <f>O66*T66</f>
        <v>1809.9011356152994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24</v>
      </c>
      <c r="I67" s="4">
        <v>20</v>
      </c>
      <c r="J67" s="4">
        <v>28</v>
      </c>
      <c r="K67" s="4"/>
      <c r="L67" s="4"/>
      <c r="M67" s="4"/>
      <c r="N67" s="4"/>
      <c r="O67" s="4">
        <v>46558</v>
      </c>
      <c r="Q67" s="13">
        <f>O67*$Q$15</f>
        <v>2488.324061092032</v>
      </c>
      <c r="R67" s="14"/>
      <c r="S67" s="1">
        <f>H67*24+I67+J68/60+K67/3600</f>
        <v>596.48333333333335</v>
      </c>
      <c r="T67" s="15">
        <f>Q15+(Q16-Q15)*(S67-S15)/(S16-S15)</f>
        <v>5.7133727180344089E-2</v>
      </c>
      <c r="U67" s="16">
        <f>O67*T67</f>
        <v>2660.0320700624602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24</v>
      </c>
      <c r="I68" s="4">
        <v>20</v>
      </c>
      <c r="J68" s="4">
        <v>29</v>
      </c>
      <c r="K68" s="4"/>
      <c r="L68" s="4"/>
      <c r="M68" s="4"/>
      <c r="N68" s="4"/>
      <c r="O68" s="4">
        <v>20936</v>
      </c>
      <c r="Q68" s="13">
        <f>O68*$Q$15</f>
        <v>1118.9387976936891</v>
      </c>
      <c r="R68" s="14"/>
      <c r="S68" s="1">
        <f>H68*24+I68+J69/60+K68/3600</f>
        <v>596.48333333333335</v>
      </c>
      <c r="T68" s="15">
        <f>Q15+(Q16-Q15)*(S68-S15)/(S16-S15)</f>
        <v>5.7133727180344089E-2</v>
      </c>
      <c r="U68" s="16">
        <f>O68*T68</f>
        <v>1196.1517122476839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24</v>
      </c>
      <c r="I69" s="4">
        <v>20</v>
      </c>
      <c r="J69" s="4">
        <v>29</v>
      </c>
      <c r="K69" s="4"/>
      <c r="L69" s="4"/>
      <c r="M69" s="4"/>
      <c r="N69" s="4"/>
      <c r="O69" s="4">
        <v>21088</v>
      </c>
      <c r="Q69" s="13">
        <f>O69*$Q$15</f>
        <v>1127.0625413529096</v>
      </c>
      <c r="R69" s="14"/>
      <c r="S69" s="1">
        <f>H69*24+I69+J70/60+K69/3600</f>
        <v>596.5</v>
      </c>
      <c r="T69" s="15">
        <f>Q15+(Q16-Q15)*(S69-S15)/(S16-S15)</f>
        <v>5.7170980162281303E-2</v>
      </c>
      <c r="U69" s="16">
        <f>O69*T69</f>
        <v>1205.6216296621881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24</v>
      </c>
      <c r="I70" s="4">
        <v>20</v>
      </c>
      <c r="J70" s="4">
        <v>30</v>
      </c>
      <c r="K70" s="4"/>
      <c r="L70" s="4"/>
      <c r="M70" s="4"/>
      <c r="N70" s="4"/>
      <c r="O70" s="4">
        <v>22390</v>
      </c>
      <c r="Q70" s="13">
        <f>O70*$Q$15</f>
        <v>1196.6488192759696</v>
      </c>
      <c r="R70" s="14"/>
      <c r="S70" s="1">
        <f>H70*24+I70+J71/60+K70/3600</f>
        <v>596.51666666666665</v>
      </c>
      <c r="T70" s="15">
        <f>Q15+(Q16-Q15)*(S70-S15)/(S16-S15)</f>
        <v>5.7208233144218523E-2</v>
      </c>
      <c r="U70" s="16">
        <f>O70*T70</f>
        <v>1280.8923400990527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24</v>
      </c>
      <c r="I71" s="4">
        <v>20</v>
      </c>
      <c r="J71" s="4">
        <v>31</v>
      </c>
      <c r="K71" s="4"/>
      <c r="L71" s="4"/>
      <c r="M71" s="4"/>
      <c r="N71" s="4"/>
      <c r="O71" s="4">
        <v>24198</v>
      </c>
      <c r="Q71" s="13">
        <f>O71*$Q$15</f>
        <v>1293.278612275119</v>
      </c>
      <c r="R71" s="14"/>
      <c r="S71" s="1">
        <f>H71*24+I71+J72/60+K71/3600</f>
        <v>596.5333333333333</v>
      </c>
      <c r="T71" s="15">
        <f>Q15+(Q16-Q15)*(S71-S15)/(S16-S15)</f>
        <v>5.7245486126155744E-2</v>
      </c>
      <c r="U71" s="16">
        <f>O71*T71</f>
        <v>1385.2262732807167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24</v>
      </c>
      <c r="I72" s="4">
        <v>20</v>
      </c>
      <c r="J72" s="4">
        <v>32</v>
      </c>
      <c r="K72" s="4"/>
      <c r="L72" s="4"/>
      <c r="M72" s="4"/>
      <c r="N72" s="4"/>
      <c r="O72" s="4">
        <v>26157</v>
      </c>
      <c r="Q72" s="13">
        <f>O72*$Q$15</f>
        <v>1397.9787032515203</v>
      </c>
      <c r="R72" s="14"/>
      <c r="S72" s="1">
        <f>H72*24+I72+J73/60+K72/3600</f>
        <v>596.5333333333333</v>
      </c>
      <c r="T72" s="15">
        <f>Q15+(Q16-Q15)*(S72-S15)/(S16-S15)</f>
        <v>5.7245486126155744E-2</v>
      </c>
      <c r="U72" s="16">
        <f>O72*T72</f>
        <v>1497.3701806018557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24</v>
      </c>
      <c r="I73" s="4">
        <v>20</v>
      </c>
      <c r="J73" s="4">
        <v>32</v>
      </c>
      <c r="K73" s="29"/>
      <c r="L73" s="29"/>
      <c r="M73" s="29"/>
      <c r="N73" s="29"/>
      <c r="O73" s="29">
        <v>23554</v>
      </c>
      <c r="P73" s="2"/>
      <c r="Q73" s="30">
        <f>O73*$Q$15</f>
        <v>1258.8595930873689</v>
      </c>
      <c r="R73" s="31"/>
      <c r="S73" s="2">
        <f>H73*24+I73+J74/60+K73/3600</f>
        <v>596.54999999999995</v>
      </c>
      <c r="T73" s="32">
        <f>Q15+(Q16-Q15)*(S73-S15)/(S16-S15)</f>
        <v>5.7282739108092964E-2</v>
      </c>
      <c r="U73" s="33">
        <f>O73*T73</f>
        <v>1349.2376369520216</v>
      </c>
    </row>
    <row r="74" spans="1:21" ht="15.75">
      <c r="A74"/>
      <c r="C74">
        <v>56</v>
      </c>
      <c r="D74" s="12"/>
      <c r="E74" s="12"/>
      <c r="F74" s="4">
        <v>2013</v>
      </c>
      <c r="G74" s="4">
        <v>7</v>
      </c>
      <c r="H74" s="4">
        <v>24</v>
      </c>
      <c r="I74" s="4">
        <v>20</v>
      </c>
      <c r="J74" s="29">
        <v>33</v>
      </c>
      <c r="K74" s="4"/>
      <c r="L74" s="4"/>
      <c r="M74" s="4"/>
      <c r="N74" s="4"/>
      <c r="O74" s="4">
        <v>16014</v>
      </c>
      <c r="Q74" s="13">
        <f>O74*$Q$15</f>
        <v>855.87915104445631</v>
      </c>
      <c r="R74" s="14"/>
      <c r="S74" s="1">
        <f>H74*24+I74+J75/60+K74/3600</f>
        <v>596.56666666666672</v>
      </c>
      <c r="T74" s="15">
        <f>Q15+(Q16-Q15)*(S74-S15)/(S16-S15)</f>
        <v>5.7319992090030442E-2</v>
      </c>
      <c r="U74" s="16">
        <f>O74*T74</f>
        <v>917.92235332974747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24</v>
      </c>
      <c r="I75" s="4">
        <v>20</v>
      </c>
      <c r="J75" s="4">
        <v>34</v>
      </c>
      <c r="K75" s="4"/>
      <c r="L75" s="4"/>
      <c r="M75" s="4"/>
      <c r="N75" s="4"/>
      <c r="O75" s="4">
        <v>48723</v>
      </c>
      <c r="Q75" s="13">
        <f>O75*$Q$15</f>
        <v>2604.0339625539559</v>
      </c>
      <c r="R75" s="14"/>
      <c r="S75" s="1">
        <f>H75*24+I75+J76/60+K75/3600</f>
        <v>596.58333333333337</v>
      </c>
      <c r="T75" s="15">
        <f>Q15+(Q16-Q15)*(S75-S15)/(S16-S15)</f>
        <v>5.7357245071967655E-2</v>
      </c>
      <c r="U75" s="16">
        <f>O75*T75</f>
        <v>2794.61705164148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24</v>
      </c>
      <c r="I76" s="4">
        <v>20</v>
      </c>
      <c r="J76" s="4">
        <v>35</v>
      </c>
      <c r="K76" s="4"/>
      <c r="L76" s="4"/>
      <c r="M76" s="4"/>
      <c r="N76" s="4"/>
      <c r="O76" s="4">
        <v>51203</v>
      </c>
      <c r="Q76" s="13">
        <f>O76*$Q$15</f>
        <v>2736.5792538359747</v>
      </c>
      <c r="R76" s="14"/>
      <c r="S76" s="1">
        <f>H76*24+I76+J77/60+K76/3600</f>
        <v>596.58333333333337</v>
      </c>
      <c r="T76" s="15">
        <f>Q15+(Q16-Q15)*(S76-S15)/(S16-S15)</f>
        <v>5.7357245071967655E-2</v>
      </c>
      <c r="U76" s="16">
        <f>O76*T76</f>
        <v>2936.86301941996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24</v>
      </c>
      <c r="I77" s="4">
        <v>20</v>
      </c>
      <c r="J77" s="4">
        <v>35</v>
      </c>
      <c r="K77" s="4"/>
      <c r="L77" s="4"/>
      <c r="M77" s="4"/>
      <c r="N77" s="4"/>
      <c r="O77" s="4">
        <v>48397</v>
      </c>
      <c r="Q77" s="13">
        <f>O77*$Q$15</f>
        <v>2586.6106702322063</v>
      </c>
      <c r="R77" s="14"/>
      <c r="S77" s="1">
        <f>H77*24+I77+J78/60+K77/3600</f>
        <v>596.63333333333333</v>
      </c>
      <c r="T77" s="15">
        <f>Q15+(Q16-Q15)*(S77-S15)/(S16-S15)</f>
        <v>5.7469004017779317E-2</v>
      </c>
      <c r="U77" s="16">
        <f>O77*T77</f>
        <v>2781.3273874484657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24</v>
      </c>
      <c r="I78" s="4">
        <v>20</v>
      </c>
      <c r="J78" s="4">
        <v>38</v>
      </c>
      <c r="K78" s="4"/>
      <c r="L78" s="4"/>
      <c r="M78" s="4"/>
      <c r="N78" s="4"/>
      <c r="O78" s="4">
        <v>50310</v>
      </c>
      <c r="Q78" s="13">
        <f>O78*$Q$15</f>
        <v>2688.8522598380541</v>
      </c>
      <c r="R78" s="14"/>
      <c r="S78" s="1">
        <f>H78*24+I78+J79/60+K78/3600</f>
        <v>596.61666666666667</v>
      </c>
      <c r="T78" s="15">
        <f>Q15+(Q16-Q15)*(S78-S15)/(S16-S15)</f>
        <v>5.7431751035842096E-2</v>
      </c>
      <c r="U78" s="16">
        <f>O78*T78</f>
        <v>2889.3913946132157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24</v>
      </c>
      <c r="I79" s="4">
        <v>20</v>
      </c>
      <c r="J79" s="4">
        <v>37</v>
      </c>
      <c r="K79" s="4"/>
      <c r="L79" s="4"/>
      <c r="M79" s="4"/>
      <c r="N79" s="4"/>
      <c r="O79" s="4">
        <v>48498</v>
      </c>
      <c r="Q79" s="13">
        <f>O79*$Q$15</f>
        <v>2592.0086841110306</v>
      </c>
      <c r="R79" s="14"/>
      <c r="S79" s="1">
        <f>H79*24+I79+J80/60+K79/3600</f>
        <v>596.65</v>
      </c>
      <c r="T79" s="15">
        <f>Q15+(Q16-Q15)*(S79-S15)/(S16-S15)</f>
        <v>5.7506256999716537E-2</v>
      </c>
      <c r="U79" s="16">
        <f>O79*T79</f>
        <v>2788.9384519722526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24</v>
      </c>
      <c r="I80" s="4">
        <v>20</v>
      </c>
      <c r="J80" s="4">
        <v>39</v>
      </c>
      <c r="K80" s="4"/>
      <c r="L80" s="4"/>
      <c r="M80" s="4"/>
      <c r="N80" s="4"/>
      <c r="O80" s="4">
        <v>39885</v>
      </c>
      <c r="Q80" s="13">
        <f>O80*$Q$15</f>
        <v>2131.6810253158574</v>
      </c>
      <c r="R80" s="14"/>
      <c r="S80" s="1">
        <f>H80*24+I80+J81/60+K80/3600</f>
        <v>596.66666666666663</v>
      </c>
      <c r="T80" s="15">
        <f>Q15+(Q16-Q15)*(S80-S15)/(S16-S15)</f>
        <v>5.7543509981653758E-2</v>
      </c>
      <c r="U80" s="16">
        <f>O80*T80</f>
        <v>2295.1228956182599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24</v>
      </c>
      <c r="I81" s="4">
        <v>20</v>
      </c>
      <c r="J81" s="4">
        <v>40</v>
      </c>
      <c r="K81" s="4"/>
      <c r="L81" s="4"/>
      <c r="M81" s="4"/>
      <c r="N81" s="4"/>
      <c r="O81" s="4">
        <v>46826</v>
      </c>
      <c r="Q81" s="13">
        <f>O81*$Q$15</f>
        <v>2502.647503859605</v>
      </c>
      <c r="R81" s="14"/>
      <c r="S81" s="1">
        <f>H81*24+I81+J82/60+K81/3600</f>
        <v>596.68333333333328</v>
      </c>
      <c r="T81" s="15">
        <f>Q15+(Q16-Q15)*(S81-S15)/(S16-S15)</f>
        <v>5.7580762963590978E-2</v>
      </c>
      <c r="U81" s="33">
        <f>O81*T81</f>
        <v>2696.2768065331111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24</v>
      </c>
      <c r="I82" s="4">
        <v>20</v>
      </c>
      <c r="J82" s="4">
        <v>41</v>
      </c>
      <c r="K82" s="4"/>
      <c r="L82" s="4"/>
      <c r="M82" s="4"/>
      <c r="N82" s="4"/>
      <c r="O82" s="4">
        <v>43638</v>
      </c>
      <c r="Q82" s="13">
        <f>O82*$Q$15</f>
        <v>2332.2626697438482</v>
      </c>
      <c r="R82" s="14"/>
      <c r="S82" s="1">
        <f>H82*24+I82+J83/60+K82/3600</f>
        <v>596.70000000000005</v>
      </c>
      <c r="T82" s="15">
        <f>Q15+(Q16-Q15)*(S82-S15)/(S16-S15)</f>
        <v>5.7618015945528449E-2</v>
      </c>
      <c r="U82" s="16">
        <f>O82*T82</f>
        <v>2514.3349798309705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24</v>
      </c>
      <c r="I83" s="4">
        <v>20</v>
      </c>
      <c r="J83" s="4">
        <v>42</v>
      </c>
      <c r="K83" s="4"/>
      <c r="L83" s="4"/>
      <c r="M83" s="4"/>
      <c r="N83" s="4"/>
      <c r="O83" s="4">
        <v>46157</v>
      </c>
      <c r="Q83" s="13">
        <f>O83*$Q$15</f>
        <v>2466.8923426226411</v>
      </c>
      <c r="R83" s="14"/>
      <c r="S83" s="1">
        <f>H83*24+I83+J84/60+K83/3600</f>
        <v>596.70000000000005</v>
      </c>
      <c r="T83" s="15">
        <f>Q15+(Q16-Q15)*(S83-S15)/(S16-S15)</f>
        <v>5.7618015945528449E-2</v>
      </c>
      <c r="U83" s="16">
        <f>O83*T83</f>
        <v>2659.4747619977566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24</v>
      </c>
      <c r="I84" s="4">
        <v>20</v>
      </c>
      <c r="J84" s="4">
        <v>42</v>
      </c>
      <c r="K84" s="4"/>
      <c r="L84" s="4"/>
      <c r="M84" s="4"/>
      <c r="N84" s="4"/>
      <c r="O84" s="4">
        <v>46096</v>
      </c>
      <c r="Q84" s="13">
        <f>O84*$Q$15</f>
        <v>2463.6321560225592</v>
      </c>
      <c r="R84" s="14"/>
      <c r="S84" s="1">
        <f>H84*24+I84+J85/60+K84/3600</f>
        <v>596.7166666666667</v>
      </c>
      <c r="T84" s="15">
        <f>Q15+(Q16-Q15)*(S84-S15)/(S16-S15)</f>
        <v>5.7655268927465669E-2</v>
      </c>
      <c r="U84" s="16">
        <f>O84*T84</f>
        <v>2657.6772764804573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24</v>
      </c>
      <c r="I85" s="4">
        <v>20</v>
      </c>
      <c r="J85" s="4">
        <v>43</v>
      </c>
      <c r="K85" s="4"/>
      <c r="L85" s="4"/>
      <c r="M85" s="4"/>
      <c r="N85" s="4"/>
      <c r="O85" s="4">
        <v>52160</v>
      </c>
      <c r="Q85" s="13">
        <f>O85*$Q$15</f>
        <v>2787.7267714798827</v>
      </c>
      <c r="R85" s="14"/>
      <c r="S85" s="1">
        <f>H85*24+I85+J86/60+K85/3600</f>
        <v>596.73333333333335</v>
      </c>
      <c r="T85" s="15">
        <f>Q$15+(Q$16-Q$15)*(S85-S$15)/(S$16-S$15)</f>
        <v>5.769252190940289E-2</v>
      </c>
      <c r="U85" s="16">
        <f>O85*T85</f>
        <v>3009.2419427944546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24</v>
      </c>
      <c r="I86" s="4">
        <v>20</v>
      </c>
      <c r="J86" s="4">
        <v>44</v>
      </c>
      <c r="K86" s="4"/>
      <c r="L86" s="4"/>
      <c r="M86" s="4"/>
      <c r="N86" s="4"/>
      <c r="O86" s="4">
        <v>56598</v>
      </c>
      <c r="Q86" s="13">
        <f>O86*$Q$15</f>
        <v>3024.9187080563347</v>
      </c>
      <c r="R86" s="14"/>
      <c r="S86" s="1">
        <f>H86*24+I86+J87/60+K86/3600</f>
        <v>596.75</v>
      </c>
      <c r="T86" s="15">
        <f>Q$15+(Q$16-Q$15)*(S86-S$15)/(S$16-S$15)</f>
        <v>5.772977489134011E-2</v>
      </c>
      <c r="U86" s="16">
        <f>O86*T86</f>
        <v>3267.3897993000674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24</v>
      </c>
      <c r="I87" s="4">
        <v>20</v>
      </c>
      <c r="J87" s="4">
        <v>45</v>
      </c>
      <c r="K87" s="29"/>
      <c r="L87" s="29"/>
      <c r="M87" s="29"/>
      <c r="N87" s="29"/>
      <c r="O87" s="29">
        <v>57946</v>
      </c>
      <c r="P87" s="2"/>
      <c r="Q87" s="30">
        <f>O87*$Q$15</f>
        <v>3096.9634873499481</v>
      </c>
      <c r="R87" s="31"/>
      <c r="S87" s="2">
        <f>H87*24+I87+J88/60+K87/3600</f>
        <v>596.75</v>
      </c>
      <c r="T87" s="15">
        <f>Q$15+(Q$16-Q$15)*(S87-S$15)/(S$16-S$15)</f>
        <v>5.772977489134011E-2</v>
      </c>
      <c r="U87" s="16">
        <f>O87*T87</f>
        <v>3345.2095358535939</v>
      </c>
    </row>
    <row r="88" spans="1:21" ht="15.75">
      <c r="C88" s="18">
        <v>70</v>
      </c>
      <c r="F88" s="4">
        <v>2013</v>
      </c>
      <c r="G88" s="4">
        <v>7</v>
      </c>
      <c r="H88" s="4">
        <v>24</v>
      </c>
      <c r="I88" s="4">
        <v>20</v>
      </c>
      <c r="J88" s="29">
        <v>45</v>
      </c>
      <c r="O88" s="1">
        <v>83379</v>
      </c>
      <c r="Q88" s="34">
        <f>O88*$Q$15</f>
        <v>4456.2475168562341</v>
      </c>
      <c r="S88" s="1">
        <f>H88*24+I88+J89/60+K88/3600</f>
        <v>596.79999999999995</v>
      </c>
      <c r="T88" s="15">
        <f>Q$15+(Q$16-Q$15)*(S88-S$15)/(S$16-S$15)</f>
        <v>5.7841533837151765E-2</v>
      </c>
      <c r="U88" s="16">
        <f>O88*T88</f>
        <v>4822.7692498078768</v>
      </c>
    </row>
    <row r="89" spans="1:21" ht="15.75">
      <c r="C89">
        <v>71</v>
      </c>
      <c r="F89" s="4">
        <v>2013</v>
      </c>
      <c r="G89" s="4">
        <v>7</v>
      </c>
      <c r="H89" s="4">
        <v>24</v>
      </c>
      <c r="I89" s="4">
        <v>20</v>
      </c>
      <c r="J89" s="1">
        <v>48</v>
      </c>
      <c r="O89" s="1">
        <v>46102</v>
      </c>
      <c r="Q89" s="34">
        <f>O89*$Q$15</f>
        <v>2463.9528301143705</v>
      </c>
      <c r="S89" s="1">
        <f>H89*24+I89+J90/60+K89/3600</f>
        <v>596.81666666666672</v>
      </c>
      <c r="T89" s="15">
        <f>Q$15+(Q$16-Q$15)*(S89-S$15)/(S$16-S$15)</f>
        <v>5.7878786819089242E-2</v>
      </c>
      <c r="U89" s="33">
        <f>O89*T89</f>
        <v>2668.3278299336521</v>
      </c>
    </row>
    <row r="90" spans="1:21">
      <c r="C90" s="18">
        <v>72</v>
      </c>
      <c r="F90" s="4">
        <v>2013</v>
      </c>
      <c r="G90" s="4">
        <v>7</v>
      </c>
      <c r="H90" s="4">
        <v>24</v>
      </c>
      <c r="I90" s="4">
        <v>20</v>
      </c>
      <c r="J90" s="1">
        <v>49</v>
      </c>
      <c r="O90" s="1">
        <v>63014</v>
      </c>
      <c r="Q90" s="34">
        <f>O90*$Q$15</f>
        <v>3367.8262035665903</v>
      </c>
      <c r="S90" s="1">
        <f>H90*24+I90+J91/60+K90/3600</f>
        <v>596.81666666666672</v>
      </c>
      <c r="T90" s="15">
        <f>Q$15+(Q$16-Q$15)*(S90-S$15)/(S$16-S$15)</f>
        <v>5.7878786819089242E-2</v>
      </c>
      <c r="U90" s="16">
        <f>O90*T90</f>
        <v>3647.1738726180897</v>
      </c>
    </row>
    <row r="91" spans="1:21">
      <c r="C91" s="18">
        <v>73</v>
      </c>
      <c r="F91" s="4">
        <v>2013</v>
      </c>
      <c r="G91" s="4">
        <v>7</v>
      </c>
      <c r="H91" s="4">
        <v>24</v>
      </c>
      <c r="I91" s="4">
        <v>20</v>
      </c>
      <c r="J91" s="1">
        <v>49</v>
      </c>
      <c r="O91" s="1">
        <v>51678</v>
      </c>
      <c r="Q91" s="34">
        <f>O91*$Q$15</f>
        <v>2761.9659527710387</v>
      </c>
      <c r="S91" s="1">
        <f>H91*24+I91+J92/60+K91/3600</f>
        <v>596.83333333333337</v>
      </c>
      <c r="T91" s="15">
        <f>Q$15+(Q$16-Q$15)*(S91-S$15)/(S$16-S$15)</f>
        <v>5.7916039801026463E-2</v>
      </c>
      <c r="U91" s="16">
        <f>O91*T91</f>
        <v>2992.9851048374458</v>
      </c>
    </row>
    <row r="92" spans="1:21">
      <c r="C92">
        <v>74</v>
      </c>
      <c r="F92" s="4">
        <v>2013</v>
      </c>
      <c r="G92" s="4">
        <v>7</v>
      </c>
      <c r="H92" s="4">
        <v>24</v>
      </c>
      <c r="I92" s="4">
        <v>20</v>
      </c>
      <c r="J92" s="1">
        <v>50</v>
      </c>
      <c r="O92" s="1">
        <v>48366</v>
      </c>
      <c r="Q92" s="34">
        <f>O92*$Q$15</f>
        <v>2584.9538540911813</v>
      </c>
      <c r="S92" s="1">
        <f>H92*24+I92+J93/60+K92/3600</f>
        <v>596.85</v>
      </c>
      <c r="T92" s="15">
        <f>Q$15+(Q$16-Q$15)*(S92-S$15)/(S$16-S$15)</f>
        <v>5.7953292782963683E-2</v>
      </c>
      <c r="U92" s="16">
        <f>O92*T92</f>
        <v>2802.9689587408216</v>
      </c>
    </row>
    <row r="93" spans="1:21">
      <c r="C93" s="18">
        <v>75</v>
      </c>
      <c r="F93" s="4">
        <v>2013</v>
      </c>
      <c r="G93" s="4">
        <v>7</v>
      </c>
      <c r="H93" s="4">
        <v>24</v>
      </c>
      <c r="I93" s="4">
        <v>20</v>
      </c>
      <c r="J93" s="1">
        <v>51</v>
      </c>
      <c r="O93" s="1">
        <v>54960</v>
      </c>
      <c r="Q93" s="34">
        <f>O93*$Q$15</f>
        <v>2937.3746809918398</v>
      </c>
      <c r="S93" s="1">
        <f>H93*24+I93+J94/60+K93/3600</f>
        <v>596.86666666666667</v>
      </c>
      <c r="T93" s="15">
        <f>Q$15+(Q$16-Q$15)*(S93-S$15)/(S$16-S$15)</f>
        <v>5.7990545764900897E-2</v>
      </c>
      <c r="U93" s="16">
        <f>O93*T93</f>
        <v>3187.1603952389532</v>
      </c>
    </row>
    <row r="94" spans="1:21">
      <c r="C94" s="18">
        <v>76</v>
      </c>
      <c r="F94" s="4">
        <v>2013</v>
      </c>
      <c r="G94" s="4">
        <v>7</v>
      </c>
      <c r="H94" s="4">
        <v>24</v>
      </c>
      <c r="I94" s="4">
        <v>20</v>
      </c>
      <c r="J94" s="1">
        <v>52</v>
      </c>
      <c r="O94" s="1">
        <v>42952</v>
      </c>
      <c r="Q94" s="34">
        <f>O94*$Q$15</f>
        <v>2295.5989319134187</v>
      </c>
      <c r="S94" s="1">
        <f>H94*24+I94+J95/60+K94/3600</f>
        <v>596.86666666666667</v>
      </c>
      <c r="T94" s="15">
        <f>Q$15+(Q$16-Q$15)*(S94-S$15)/(S$16-S$15)</f>
        <v>5.7990545764900897E-2</v>
      </c>
      <c r="U94" s="16">
        <f>O94*T94</f>
        <v>2490.8099216940232</v>
      </c>
    </row>
    <row r="95" spans="1:21">
      <c r="C95">
        <v>77</v>
      </c>
      <c r="F95" s="4">
        <v>2013</v>
      </c>
      <c r="G95" s="4">
        <v>7</v>
      </c>
      <c r="H95" s="4">
        <v>24</v>
      </c>
      <c r="I95" s="4">
        <v>20</v>
      </c>
      <c r="J95" s="1">
        <v>52</v>
      </c>
      <c r="O95" s="1">
        <v>44339</v>
      </c>
      <c r="Q95" s="34">
        <f>O95*$Q$15</f>
        <v>2369.7280928038062</v>
      </c>
      <c r="S95" s="1">
        <f>H95*24+I95+J96/60+K95/3600</f>
        <v>596.88333333333333</v>
      </c>
      <c r="T95" s="15">
        <f>Q$15+(Q$16-Q$15)*(S95-S$15)/(S$16-S$15)</f>
        <v>5.8027798746838118E-2</v>
      </c>
      <c r="U95" s="16">
        <f>O95*T95</f>
        <v>2572.8945686360553</v>
      </c>
    </row>
    <row r="96" spans="1:21">
      <c r="C96" s="18">
        <v>78</v>
      </c>
      <c r="F96" s="4">
        <v>2013</v>
      </c>
      <c r="G96" s="4">
        <v>7</v>
      </c>
      <c r="H96" s="4">
        <v>24</v>
      </c>
      <c r="I96" s="4">
        <v>20</v>
      </c>
      <c r="J96" s="1">
        <v>53</v>
      </c>
      <c r="O96" s="1">
        <v>44182</v>
      </c>
      <c r="Q96" s="34">
        <f>O96*$Q$15</f>
        <v>2361.3371207347427</v>
      </c>
      <c r="S96" s="1">
        <f>H96*24+I96+J97/60+K96/3600</f>
        <v>596.9</v>
      </c>
      <c r="T96" s="15">
        <f>Q$15+(Q$16-Q$15)*(S96-S$15)/(S$16-S$15)</f>
        <v>5.8065051728775338E-2</v>
      </c>
      <c r="U96" s="16">
        <f>O96*T96</f>
        <v>2565.4301154807522</v>
      </c>
    </row>
    <row r="97" spans="3:21" ht="15.75">
      <c r="C97" s="18">
        <v>79</v>
      </c>
      <c r="F97" s="4">
        <v>2013</v>
      </c>
      <c r="G97" s="4">
        <v>7</v>
      </c>
      <c r="H97" s="4">
        <v>24</v>
      </c>
      <c r="I97" s="4">
        <v>20</v>
      </c>
      <c r="J97" s="1">
        <v>54</v>
      </c>
      <c r="O97" s="1">
        <v>37030</v>
      </c>
      <c r="Q97" s="34">
        <f>O97*$Q$15</f>
        <v>1979.0936032956299</v>
      </c>
      <c r="S97" s="1">
        <f>H97*24+I97+J98/60+K97/3600</f>
        <v>596.91666666666663</v>
      </c>
      <c r="T97" s="15">
        <f>Q$15+(Q$16-Q$15)*(S97-S$15)/(S$16-S$15)</f>
        <v>5.8102304710712559E-2</v>
      </c>
      <c r="U97" s="33">
        <f>O97*T97</f>
        <v>2151.5283434376861</v>
      </c>
    </row>
    <row r="98" spans="3:21">
      <c r="C98">
        <v>80</v>
      </c>
      <c r="F98" s="4">
        <v>2013</v>
      </c>
      <c r="G98" s="4">
        <v>7</v>
      </c>
      <c r="H98" s="4">
        <v>24</v>
      </c>
      <c r="I98" s="4">
        <v>20</v>
      </c>
      <c r="J98" s="1">
        <v>55</v>
      </c>
      <c r="O98" s="1">
        <v>39040</v>
      </c>
      <c r="Q98" s="34">
        <f>O98*$Q$15</f>
        <v>2086.5194240524274</v>
      </c>
      <c r="S98" s="1">
        <f>H98*24+I98+J99/60+K98/3600</f>
        <v>596.93333333333328</v>
      </c>
      <c r="T98" s="15">
        <f>Q$15+(Q$16-Q$15)*(S98-S$15)/(S$16-S$15)</f>
        <v>5.8139557692649779E-2</v>
      </c>
      <c r="U98" s="16">
        <f>O98*T98</f>
        <v>2269.7683323210472</v>
      </c>
    </row>
    <row r="99" spans="3:21">
      <c r="C99" s="18">
        <v>81</v>
      </c>
      <c r="F99" s="4">
        <v>2013</v>
      </c>
      <c r="G99" s="4">
        <v>7</v>
      </c>
      <c r="H99" s="4">
        <v>24</v>
      </c>
      <c r="I99" s="4">
        <v>20</v>
      </c>
      <c r="J99" s="1">
        <v>56</v>
      </c>
      <c r="O99" s="1">
        <v>81552</v>
      </c>
      <c r="Q99" s="34">
        <f>O99*$Q$15</f>
        <v>4358.6022558996819</v>
      </c>
      <c r="S99" s="1">
        <f>H99*24+I99+J100/60+K99/3600</f>
        <v>596.95000000000005</v>
      </c>
      <c r="T99" s="15">
        <f>Q$15+(Q$16-Q$15)*(S99-S$15)/(S$16-S$15)</f>
        <v>5.8176810674587257E-2</v>
      </c>
      <c r="U99" s="16">
        <f>O99*T99</f>
        <v>4744.4352641339401</v>
      </c>
    </row>
    <row r="100" spans="3:21">
      <c r="C100" s="18">
        <v>82</v>
      </c>
      <c r="F100" s="4">
        <v>2013</v>
      </c>
      <c r="G100" s="4">
        <v>7</v>
      </c>
      <c r="H100" s="4">
        <v>24</v>
      </c>
      <c r="I100" s="4">
        <v>20</v>
      </c>
      <c r="J100" s="1">
        <v>57</v>
      </c>
      <c r="O100" s="1">
        <v>89165</v>
      </c>
      <c r="Q100" s="34">
        <f>O100*$Q$15</f>
        <v>4765.4842327262986</v>
      </c>
      <c r="S100" s="1">
        <f>H100*24+I100+J101/60+K100/3600</f>
        <v>596.95000000000005</v>
      </c>
      <c r="T100" s="15">
        <f>Q$15+(Q$16-Q$15)*(S100-S$15)/(S$16-S$15)</f>
        <v>5.8176810674587257E-2</v>
      </c>
      <c r="U100" s="16">
        <f>O100*T100</f>
        <v>5187.3353237995725</v>
      </c>
    </row>
    <row r="101" spans="3:21">
      <c r="C101">
        <v>83</v>
      </c>
      <c r="F101" s="4">
        <v>2013</v>
      </c>
      <c r="G101" s="4">
        <v>7</v>
      </c>
      <c r="H101" s="4">
        <v>24</v>
      </c>
      <c r="I101" s="4">
        <v>20</v>
      </c>
      <c r="J101" s="1">
        <v>57</v>
      </c>
      <c r="O101" s="1">
        <v>82378</v>
      </c>
      <c r="Q101" s="34">
        <f>O101*$Q$15</f>
        <v>4402.7483892057089</v>
      </c>
      <c r="S101" s="1">
        <f>H101*24+I101+J102/60+K101/3600</f>
        <v>596.9666666666667</v>
      </c>
      <c r="T101" s="15">
        <f>Q$15+(Q$16-Q$15)*(S101-S$15)/(S$16-S$15)</f>
        <v>5.821406365652447E-2</v>
      </c>
      <c r="U101" s="16">
        <f>O101*T101</f>
        <v>4795.5581358971731</v>
      </c>
    </row>
    <row r="102" spans="3:21">
      <c r="C102" s="18">
        <v>84</v>
      </c>
      <c r="F102" s="4">
        <v>2013</v>
      </c>
      <c r="G102" s="4">
        <v>7</v>
      </c>
      <c r="H102" s="4">
        <v>24</v>
      </c>
      <c r="I102" s="4">
        <v>20</v>
      </c>
      <c r="J102" s="1">
        <v>58</v>
      </c>
      <c r="O102" s="1">
        <v>21686</v>
      </c>
      <c r="Q102" s="34">
        <f>O102*$Q$15</f>
        <v>1159.0230591701061</v>
      </c>
      <c r="S102" s="1">
        <f>H102*24+I102+J103/60+K102/3600</f>
        <v>596</v>
      </c>
      <c r="T102" s="15">
        <f>Q$15+(Q$16-Q$15)*(S102-S$15)/(S$16-S$15)</f>
        <v>5.6053390704163701E-2</v>
      </c>
      <c r="U102" s="16">
        <f>O102*T102</f>
        <v>1215.573830810494</v>
      </c>
    </row>
  </sheetData>
  <conditionalFormatting sqref="N88:N65536">
    <cfRule type="cellIs" dxfId="13" priority="2" operator="greaterThan">
      <formula>300000</formula>
    </cfRule>
  </conditionalFormatting>
  <conditionalFormatting sqref="Q19:Q87">
    <cfRule type="cellIs" dxfId="12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2"/>
  <sheetViews>
    <sheetView zoomScaleNormal="100" workbookViewId="0">
      <selection activeCell="O16" sqref="O16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29</v>
      </c>
      <c r="I2" s="4">
        <v>11</v>
      </c>
      <c r="J2" s="4">
        <v>27</v>
      </c>
      <c r="K2" s="4"/>
      <c r="L2" s="4"/>
      <c r="M2" s="4"/>
      <c r="N2" s="4"/>
      <c r="O2" s="4">
        <v>174986</v>
      </c>
      <c r="P2"/>
      <c r="Q2"/>
      <c r="R2"/>
      <c r="S2" s="1">
        <f>H2*24+I2+J2/60+K2/3600</f>
        <v>707.45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29</v>
      </c>
      <c r="I3" s="4">
        <v>11</v>
      </c>
      <c r="J3" s="4">
        <v>28</v>
      </c>
      <c r="K3" s="4"/>
      <c r="L3" s="4"/>
      <c r="M3" s="4"/>
      <c r="N3" s="4"/>
      <c r="O3" s="4">
        <v>177562</v>
      </c>
      <c r="P3"/>
      <c r="Q3"/>
      <c r="R3"/>
      <c r="S3" s="1">
        <f>H3*24+I3+J3/60+K3/3600</f>
        <v>707.4666666666667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29</v>
      </c>
      <c r="I4" s="4">
        <v>11</v>
      </c>
      <c r="J4" s="4">
        <v>28</v>
      </c>
      <c r="K4" s="4"/>
      <c r="L4" s="4"/>
      <c r="M4" s="4"/>
      <c r="N4" s="4"/>
      <c r="O4" s="4">
        <v>174275</v>
      </c>
      <c r="P4"/>
      <c r="Q4"/>
      <c r="R4"/>
      <c r="S4" s="1">
        <f>H4*24+I4+J4/60+K4/3600</f>
        <v>707.4666666666667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29</v>
      </c>
      <c r="I5" s="4">
        <v>11</v>
      </c>
      <c r="J5" s="4">
        <v>29</v>
      </c>
      <c r="K5" s="4"/>
      <c r="L5" s="4"/>
      <c r="M5" s="4"/>
      <c r="N5" s="4"/>
      <c r="O5" s="4">
        <v>176619</v>
      </c>
      <c r="P5"/>
      <c r="Q5"/>
      <c r="R5"/>
      <c r="S5" s="1">
        <f>H5*24+I5+J5/60+K5/3600</f>
        <v>707.48333333333335</v>
      </c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29</v>
      </c>
      <c r="I7" s="4">
        <v>14</v>
      </c>
      <c r="J7" s="4">
        <v>10</v>
      </c>
      <c r="K7" s="4"/>
      <c r="L7" s="4"/>
      <c r="M7" s="4"/>
      <c r="N7" s="4"/>
      <c r="O7" s="4">
        <v>170243</v>
      </c>
      <c r="P7"/>
      <c r="Q7"/>
      <c r="R7"/>
      <c r="S7" s="1">
        <f>H7*24+I7+J7/60+K7/3600</f>
        <v>710.16666666666663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29</v>
      </c>
      <c r="I8" s="4">
        <v>14</v>
      </c>
      <c r="J8" s="4">
        <v>11</v>
      </c>
      <c r="K8" s="4"/>
      <c r="L8" s="4"/>
      <c r="M8" s="4"/>
      <c r="N8" s="4"/>
      <c r="O8" s="4">
        <v>168307</v>
      </c>
      <c r="P8"/>
      <c r="Q8"/>
      <c r="R8"/>
      <c r="S8" s="1">
        <f>H8*24+I8+J8/60+K8/3600</f>
        <v>710.18333333333328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29</v>
      </c>
      <c r="I9" s="4">
        <v>14</v>
      </c>
      <c r="J9" s="4">
        <v>12</v>
      </c>
      <c r="K9" s="4"/>
      <c r="L9" s="4"/>
      <c r="M9" s="4"/>
      <c r="N9" s="4"/>
      <c r="O9" s="4">
        <v>173875</v>
      </c>
      <c r="P9"/>
      <c r="Q9"/>
      <c r="R9"/>
      <c r="S9" s="1">
        <f>H9*24+I9+J9/60+K9/3600</f>
        <v>710.2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29</v>
      </c>
      <c r="I10" s="4">
        <v>14</v>
      </c>
      <c r="J10" s="4">
        <v>12</v>
      </c>
      <c r="K10" s="4"/>
      <c r="L10" s="4"/>
      <c r="M10" s="4"/>
      <c r="N10" s="4"/>
      <c r="O10" s="4">
        <v>175776</v>
      </c>
      <c r="P10"/>
      <c r="Q10"/>
      <c r="R10"/>
      <c r="S10" s="1">
        <f>H10*24+I10+J10/60+K10/3600</f>
        <v>710.2</v>
      </c>
      <c r="T10"/>
      <c r="U10"/>
    </row>
    <row r="11" spans="1:21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175860.5</v>
      </c>
      <c r="Q15" s="8">
        <f>F15/O15</f>
        <v>5.1444184453018162E-2</v>
      </c>
      <c r="S15" s="1">
        <f>AVERAGE(S2:S6)</f>
        <v>707.4666666666667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172050.25</v>
      </c>
      <c r="Q16" s="1">
        <f>F15/O16</f>
        <v>5.2583474885970816E-2</v>
      </c>
      <c r="S16" s="1">
        <f>AVERAGE(S7:S11)</f>
        <v>710.1875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29</v>
      </c>
      <c r="I19" s="4">
        <v>13</v>
      </c>
      <c r="J19" s="4">
        <v>21</v>
      </c>
      <c r="K19" s="4"/>
      <c r="L19" s="4"/>
      <c r="M19" s="4"/>
      <c r="N19" s="4"/>
      <c r="O19" s="4">
        <v>176258</v>
      </c>
      <c r="Q19" s="13">
        <f>O19*$Q$15</f>
        <v>9067.4490633200749</v>
      </c>
      <c r="R19" s="14"/>
      <c r="S19" s="1">
        <f>H19*24+I19+J19/60+K19/3600</f>
        <v>709.35</v>
      </c>
      <c r="T19" s="15">
        <f>Q15+(Q16-Q15)*(S19-S15)/(S16-S15)</f>
        <v>5.2232789775674519E-2</v>
      </c>
      <c r="U19" s="16">
        <f>O19*T19</f>
        <v>9206.4470602808397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29</v>
      </c>
      <c r="I20" s="4">
        <v>13</v>
      </c>
      <c r="J20" s="4">
        <v>22</v>
      </c>
      <c r="K20" s="4"/>
      <c r="L20" s="4"/>
      <c r="M20" s="4"/>
      <c r="N20" s="4"/>
      <c r="O20" s="4">
        <v>178963</v>
      </c>
      <c r="Q20" s="13">
        <f>O20*$Q$15</f>
        <v>9206.6055822654889</v>
      </c>
      <c r="R20" s="14"/>
      <c r="S20" s="1">
        <f>H20*24+I20+J20/60+K20/3600</f>
        <v>709.36666666666667</v>
      </c>
      <c r="T20" s="15">
        <f>Q15+(Q16-Q15)*(S20-S15)/(S16-S15)</f>
        <v>5.2239768583839614E-2</v>
      </c>
      <c r="U20" s="16">
        <f>O20*T20</f>
        <v>9348.9857050696883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29</v>
      </c>
      <c r="I21" s="4">
        <v>13</v>
      </c>
      <c r="J21" s="4">
        <v>23</v>
      </c>
      <c r="K21" s="4"/>
      <c r="L21" s="4"/>
      <c r="M21" s="4"/>
      <c r="N21" s="4"/>
      <c r="O21" s="4">
        <v>152534</v>
      </c>
      <c r="Q21" s="13">
        <f>O21*$Q$15</f>
        <v>7846.9872313566721</v>
      </c>
      <c r="R21" s="14"/>
      <c r="S21" s="1">
        <f>H21*24+I21+J21/60+K21/3600</f>
        <v>709.38333333333333</v>
      </c>
      <c r="T21" s="15">
        <f>Q15+(Q16-Q15)*(S21-S15)/(S16-S15)</f>
        <v>5.224674739200471E-2</v>
      </c>
      <c r="U21" s="16">
        <f>O21*T21</f>
        <v>7969.4053666920463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29</v>
      </c>
      <c r="I22" s="4">
        <v>13</v>
      </c>
      <c r="J22" s="4">
        <v>24</v>
      </c>
      <c r="K22" s="4"/>
      <c r="L22" s="4"/>
      <c r="M22" s="4"/>
      <c r="N22" s="4"/>
      <c r="O22" s="4">
        <v>162445</v>
      </c>
      <c r="Q22" s="13">
        <f>O22*$Q$15</f>
        <v>8356.8505434705348</v>
      </c>
      <c r="R22" s="14"/>
      <c r="S22" s="1">
        <f>H22*24+I22+J22/60+K22/3600</f>
        <v>709.4</v>
      </c>
      <c r="T22" s="15">
        <f>Q15+(Q16-Q15)*(S22-S15)/(S16-S15)</f>
        <v>5.2253726200169805E-2</v>
      </c>
      <c r="U22" s="16">
        <f>O22*T22</f>
        <v>8488.3565525865833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29</v>
      </c>
      <c r="I23" s="4">
        <v>13</v>
      </c>
      <c r="J23" s="4">
        <v>25</v>
      </c>
      <c r="K23" s="4"/>
      <c r="L23" s="4"/>
      <c r="M23" s="4"/>
      <c r="N23" s="4"/>
      <c r="O23" s="4">
        <v>177594</v>
      </c>
      <c r="Q23" s="13">
        <f>O23*$Q$15</f>
        <v>9136.1784937493067</v>
      </c>
      <c r="R23" s="14"/>
      <c r="S23" s="1">
        <f>H23*24+I23+J23/60+K23/3600</f>
        <v>709.41666666666663</v>
      </c>
      <c r="T23" s="15">
        <f>Q15+(Q16-Q15)*(S23-S15)/(S16-S15)</f>
        <v>5.22607050083349E-2</v>
      </c>
      <c r="U23" s="16">
        <f>O23*T23</f>
        <v>9281.1876452502274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29</v>
      </c>
      <c r="I24" s="4">
        <v>13</v>
      </c>
      <c r="J24" s="4">
        <v>26</v>
      </c>
      <c r="K24" s="4"/>
      <c r="L24" s="4"/>
      <c r="M24" s="4"/>
      <c r="N24" s="4"/>
      <c r="O24" s="4">
        <v>105960</v>
      </c>
      <c r="Q24" s="13">
        <f>O24*$Q$15</f>
        <v>5451.0257846418044</v>
      </c>
      <c r="R24" s="14"/>
      <c r="S24" s="1">
        <f>H24*24+I24+J24/60+K24/3600</f>
        <v>709.43333333333328</v>
      </c>
      <c r="T24" s="15">
        <f>Q15+(Q16-Q15)*(S24-S15)/(S16-S15)</f>
        <v>5.2267683816499995E-2</v>
      </c>
      <c r="U24" s="16">
        <f>O24*T24</f>
        <v>5538.2837771963395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29</v>
      </c>
      <c r="I25" s="4">
        <v>13</v>
      </c>
      <c r="J25" s="4">
        <v>27</v>
      </c>
      <c r="K25" s="4"/>
      <c r="L25" s="4"/>
      <c r="M25" s="4"/>
      <c r="N25" s="4"/>
      <c r="O25" s="4">
        <v>125338</v>
      </c>
      <c r="Q25" s="13">
        <f>O25*$Q$15</f>
        <v>6447.9111909723906</v>
      </c>
      <c r="R25" s="14"/>
      <c r="S25" s="1">
        <f>H25*24+I25+J25/60+K25/3600</f>
        <v>709.45</v>
      </c>
      <c r="T25" s="15">
        <f>Q15+(Q16-Q15)*(S25-S15)/(S16-S15)</f>
        <v>5.2274662624665132E-2</v>
      </c>
      <c r="U25" s="16">
        <f>O25*T25</f>
        <v>6552.0016640502781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29</v>
      </c>
      <c r="I26" s="4">
        <v>13</v>
      </c>
      <c r="J26" s="4">
        <v>28</v>
      </c>
      <c r="K26" s="4"/>
      <c r="L26" s="4"/>
      <c r="M26" s="4"/>
      <c r="N26" s="4"/>
      <c r="O26" s="4">
        <v>119882</v>
      </c>
      <c r="Q26" s="13">
        <f>O26*$Q$15</f>
        <v>6167.2317205967229</v>
      </c>
      <c r="R26" s="14"/>
      <c r="S26" s="1">
        <f>H26*24+I26+J26/60+K26/3600</f>
        <v>709.4666666666667</v>
      </c>
      <c r="T26" s="15">
        <f>Q15+(Q16-Q15)*(S26-S15)/(S16-S15)</f>
        <v>5.2281641432830227E-2</v>
      </c>
      <c r="U26" s="16">
        <f>O26*T26</f>
        <v>6267.6277382505532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29</v>
      </c>
      <c r="I27" s="4">
        <v>13</v>
      </c>
      <c r="J27" s="4">
        <v>29</v>
      </c>
      <c r="K27" s="4"/>
      <c r="L27" s="4"/>
      <c r="M27" s="4"/>
      <c r="N27" s="4"/>
      <c r="O27" s="4">
        <v>139987</v>
      </c>
      <c r="Q27" s="13">
        <f>O27*$Q$15</f>
        <v>7201.5170490246537</v>
      </c>
      <c r="R27" s="14"/>
      <c r="S27" s="1">
        <f>H27*24+I27+J27/60+K27/3600</f>
        <v>709.48333333333335</v>
      </c>
      <c r="T27" s="15">
        <f>Q15+(Q16-Q15)*(S27-S15)/(S16-S15)</f>
        <v>5.2288620240995322E-2</v>
      </c>
      <c r="U27" s="16">
        <f>O27*T27</f>
        <v>7319.727081676212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29</v>
      </c>
      <c r="I28" s="4">
        <v>13</v>
      </c>
      <c r="J28" s="4">
        <v>30</v>
      </c>
      <c r="K28" s="4"/>
      <c r="L28" s="4"/>
      <c r="M28" s="4"/>
      <c r="N28" s="4"/>
      <c r="O28" s="4">
        <v>151595</v>
      </c>
      <c r="Q28" s="13">
        <f>O28*$Q$15</f>
        <v>7798.6811421552884</v>
      </c>
      <c r="R28" s="14"/>
      <c r="S28" s="1">
        <f>H28*24+I28+J28/60+K28/3600</f>
        <v>709.5</v>
      </c>
      <c r="T28" s="15">
        <f>Q15+(Q16-Q15)*(S28-S15)/(S16-S15)</f>
        <v>5.2295599049160417E-2</v>
      </c>
      <c r="U28" s="16">
        <f>O28*T28</f>
        <v>7927.7513378574731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29</v>
      </c>
      <c r="I29" s="4">
        <v>13</v>
      </c>
      <c r="J29" s="4">
        <v>35</v>
      </c>
      <c r="K29" s="4"/>
      <c r="L29" s="4"/>
      <c r="M29" s="4"/>
      <c r="N29" s="4"/>
      <c r="O29" s="4">
        <v>59602</v>
      </c>
      <c r="Q29" s="13">
        <f>O29*$Q$15</f>
        <v>3066.1762817687886</v>
      </c>
      <c r="R29" s="14"/>
      <c r="S29" s="1">
        <f>H29*24+I29+J29/60+K29/3600</f>
        <v>709.58333333333337</v>
      </c>
      <c r="T29" s="15">
        <f>Q15+(Q16-Q15)*(S29-S15)/(S16-S15)</f>
        <v>5.2330493089985934E-2</v>
      </c>
      <c r="U29" s="16">
        <f>O29*T29</f>
        <v>3119.0020491493415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29</v>
      </c>
      <c r="I30" s="4">
        <v>13</v>
      </c>
      <c r="J30" s="4">
        <v>34</v>
      </c>
      <c r="K30" s="4"/>
      <c r="L30" s="4"/>
      <c r="M30" s="4"/>
      <c r="N30" s="4"/>
      <c r="O30" s="4">
        <v>46666</v>
      </c>
      <c r="Q30" s="13">
        <f>O30*$Q$15</f>
        <v>2400.6943116845455</v>
      </c>
      <c r="R30" s="14"/>
      <c r="S30" s="1">
        <f>H30*24+I30+J30/60+K30/3600</f>
        <v>709.56666666666672</v>
      </c>
      <c r="T30" s="15">
        <f>Q15+(Q16-Q15)*(S30-S15)/(S16-S15)</f>
        <v>5.2323514281820839E-2</v>
      </c>
      <c r="U30" s="16">
        <f>O30*T30</f>
        <v>2441.7291174754514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29</v>
      </c>
      <c r="I31" s="4">
        <v>13</v>
      </c>
      <c r="J31" s="4">
        <v>37</v>
      </c>
      <c r="K31" s="4"/>
      <c r="L31" s="4"/>
      <c r="M31" s="4"/>
      <c r="N31" s="4"/>
      <c r="O31" s="4">
        <v>52077</v>
      </c>
      <c r="Q31" s="13">
        <f>O31*$Q$15</f>
        <v>2679.0587937598266</v>
      </c>
      <c r="R31" s="14"/>
      <c r="S31" s="1">
        <f>H31*24+I31+J31/60+K31/3600</f>
        <v>709.61666666666667</v>
      </c>
      <c r="T31" s="15">
        <f>Q15+(Q16-Q15)*(S31-S15)/(S16-S15)</f>
        <v>5.2344450706316124E-2</v>
      </c>
      <c r="U31" s="16">
        <f>O31*T31</f>
        <v>2725.9419594328247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29</v>
      </c>
      <c r="I32" s="4">
        <v>13</v>
      </c>
      <c r="J32" s="4">
        <v>38</v>
      </c>
      <c r="K32" s="4"/>
      <c r="L32" s="4"/>
      <c r="M32" s="4"/>
      <c r="N32" s="4"/>
      <c r="O32" s="4">
        <v>11176</v>
      </c>
      <c r="Q32" s="13">
        <f>O32*$Q$15</f>
        <v>574.94020544693092</v>
      </c>
      <c r="R32" s="14"/>
      <c r="S32" s="1">
        <f>H32*24+I32+J32/60+K32/3600</f>
        <v>709.63333333333333</v>
      </c>
      <c r="T32" s="15">
        <f>Q15+(Q16-Q15)*(S32-S15)/(S16-S15)</f>
        <v>5.2351429514481219E-2</v>
      </c>
      <c r="U32" s="16">
        <f>O32*T32</f>
        <v>585.07957625384211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29</v>
      </c>
      <c r="I33" s="4">
        <v>13</v>
      </c>
      <c r="J33" s="4">
        <v>40</v>
      </c>
      <c r="K33" s="4"/>
      <c r="L33" s="4"/>
      <c r="M33" s="4"/>
      <c r="N33" s="4"/>
      <c r="O33" s="4">
        <v>392928</v>
      </c>
      <c r="Q33" s="13">
        <f>O33*$Q$15</f>
        <v>20213.860508755519</v>
      </c>
      <c r="R33" s="14"/>
      <c r="S33" s="1">
        <f>H33*24+I33+J33/60+K33/3600</f>
        <v>709.66666666666663</v>
      </c>
      <c r="T33" s="15">
        <f>Q15+(Q16-Q15)*(S33-S15)/(S16-S15)</f>
        <v>5.236538713081141E-2</v>
      </c>
      <c r="U33" s="16">
        <f>O33*T33</f>
        <v>20575.826834535466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29</v>
      </c>
      <c r="I34" s="4">
        <v>13</v>
      </c>
      <c r="J34" s="4">
        <v>41</v>
      </c>
      <c r="K34" s="4"/>
      <c r="L34" s="4"/>
      <c r="M34" s="4"/>
      <c r="N34" s="4"/>
      <c r="O34" s="4">
        <v>367312</v>
      </c>
      <c r="Q34" s="13">
        <f>O34*$Q$15</f>
        <v>18896.066279807008</v>
      </c>
      <c r="R34" s="14"/>
      <c r="S34" s="1">
        <f>H34*24+I34+J34/60+K34/3600</f>
        <v>709.68333333333328</v>
      </c>
      <c r="T34" s="15">
        <f>Q15+(Q16-Q15)*(S34-S15)/(S16-S15)</f>
        <v>5.2372365938976505E-2</v>
      </c>
      <c r="U34" s="16">
        <f>O34*T34</f>
        <v>19236.998477777339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29</v>
      </c>
      <c r="I35" s="4">
        <v>13</v>
      </c>
      <c r="J35" s="4">
        <v>42</v>
      </c>
      <c r="K35" s="4"/>
      <c r="L35" s="4"/>
      <c r="M35" s="4"/>
      <c r="N35" s="4"/>
      <c r="O35" s="4">
        <v>365349</v>
      </c>
      <c r="Q35" s="13">
        <f>O35*$Q$15</f>
        <v>18795.081345725732</v>
      </c>
      <c r="R35" s="14"/>
      <c r="S35" s="1">
        <f>H35*24+I35+J35/60+K35/3600</f>
        <v>709.7</v>
      </c>
      <c r="T35" s="15">
        <f>Q15+(Q16-Q15)*(S35-S15)/(S16-S15)</f>
        <v>5.2379344747141642E-2</v>
      </c>
      <c r="U35" s="16">
        <f>O35*T35</f>
        <v>19136.741224023452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29</v>
      </c>
      <c r="I36" s="4">
        <v>13</v>
      </c>
      <c r="J36" s="6">
        <v>43</v>
      </c>
      <c r="K36" s="6"/>
      <c r="L36" s="6"/>
      <c r="M36" s="6"/>
      <c r="N36" s="6"/>
      <c r="O36" s="6">
        <v>427415</v>
      </c>
      <c r="P36" s="5"/>
      <c r="Q36" s="21">
        <f>O36*$Q$15</f>
        <v>21988.016097986758</v>
      </c>
      <c r="R36" s="22"/>
      <c r="S36" s="5">
        <f>H36*24+I36+J36/60+K36/3600</f>
        <v>709.7166666666667</v>
      </c>
      <c r="T36" s="23">
        <f>Q15+(Q16-Q15)*(S36-S15)/(S16-S15)</f>
        <v>5.2386323555306737E-2</v>
      </c>
      <c r="U36" s="24">
        <f>O36*T36</f>
        <v>22390.700482391429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29</v>
      </c>
      <c r="I37" s="4">
        <v>13</v>
      </c>
      <c r="J37" s="4">
        <v>44</v>
      </c>
      <c r="K37" s="4"/>
      <c r="L37" s="4"/>
      <c r="M37" s="4"/>
      <c r="N37" s="4"/>
      <c r="O37" s="4">
        <v>416714</v>
      </c>
      <c r="Q37" s="13">
        <f>O37*$Q$15</f>
        <v>21437.511880155009</v>
      </c>
      <c r="R37" s="14"/>
      <c r="S37" s="1">
        <f>H37*24+I37+J37/60+K37/3600</f>
        <v>709.73333333333335</v>
      </c>
      <c r="T37" s="15">
        <f>Q15+(Q16-Q15)*(S37-S15)/(S16-S15)</f>
        <v>5.2393302363471832E-2</v>
      </c>
      <c r="U37" s="16">
        <f>O37*T37</f>
        <v>21833.022601091801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29</v>
      </c>
      <c r="I38" s="4">
        <v>13</v>
      </c>
      <c r="J38" s="4">
        <v>45</v>
      </c>
      <c r="K38" s="4"/>
      <c r="L38" s="4"/>
      <c r="M38" s="4"/>
      <c r="N38" s="4"/>
      <c r="O38" s="4">
        <v>143011</v>
      </c>
      <c r="Q38" s="13">
        <f>O38*$Q$15</f>
        <v>7357.0842628105802</v>
      </c>
      <c r="R38" s="14"/>
      <c r="S38" s="1">
        <f>H38*24+I38+J38/60+K38/3600</f>
        <v>709.75</v>
      </c>
      <c r="T38" s="15">
        <f>Q15+(Q16-Q15)*(S38-S15)/(S16-S15)</f>
        <v>5.2400281171636927E-2</v>
      </c>
      <c r="U38" s="16">
        <f>O38*T38</f>
        <v>7493.8166106369681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29</v>
      </c>
      <c r="I39" s="4">
        <v>13</v>
      </c>
      <c r="J39" s="6">
        <v>46</v>
      </c>
      <c r="K39" s="6"/>
      <c r="L39" s="6"/>
      <c r="M39" s="6"/>
      <c r="N39" s="6"/>
      <c r="O39" s="6">
        <v>135389</v>
      </c>
      <c r="P39" s="5"/>
      <c r="Q39" s="21">
        <f>O39*$Q$15</f>
        <v>6964.9766889096754</v>
      </c>
      <c r="R39" s="22"/>
      <c r="S39" s="5">
        <f>H39*24+I39+J39/60+K39/3600</f>
        <v>709.76666666666665</v>
      </c>
      <c r="T39" s="23">
        <f>Q15+(Q16-Q15)*(S39-S15)/(S16-S15)</f>
        <v>5.2407259979802022E-2</v>
      </c>
      <c r="U39" s="24">
        <f>O39*T39</f>
        <v>7095.3665214054163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29</v>
      </c>
      <c r="I40" s="4">
        <v>13</v>
      </c>
      <c r="J40" s="4">
        <v>47</v>
      </c>
      <c r="K40" s="4"/>
      <c r="L40" s="4"/>
      <c r="M40" s="4"/>
      <c r="N40" s="4"/>
      <c r="O40" s="4">
        <v>120394</v>
      </c>
      <c r="Q40" s="13">
        <f>O40*$Q$15</f>
        <v>6193.5711430366682</v>
      </c>
      <c r="R40" s="14"/>
      <c r="S40" s="1">
        <f>H40*24+I40+J40/60+K40/3600</f>
        <v>709.7833333333333</v>
      </c>
      <c r="T40" s="15">
        <f>Q15+(Q16-Q15)*(S40-S15)/(S16-S15)</f>
        <v>5.2414238787967117E-2</v>
      </c>
      <c r="U40" s="16">
        <f>O40*T40</f>
        <v>6310.3598646385135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29</v>
      </c>
      <c r="I41" s="4">
        <v>13</v>
      </c>
      <c r="J41" s="4">
        <v>50</v>
      </c>
      <c r="K41" s="4"/>
      <c r="L41" s="4"/>
      <c r="M41" s="4"/>
      <c r="N41" s="4"/>
      <c r="O41" s="4">
        <v>120058</v>
      </c>
      <c r="Q41" s="13">
        <f>O41*$Q$15</f>
        <v>6176.2858970604548</v>
      </c>
      <c r="R41" s="14"/>
      <c r="S41" s="1">
        <f>H41*24+I41+J41/60+K41/3600</f>
        <v>709.83333333333337</v>
      </c>
      <c r="T41" s="15">
        <f>Q15+(Q16-Q15)*(S41-S15)/(S16-S15)</f>
        <v>5.2435175212462444E-2</v>
      </c>
      <c r="U41" s="16">
        <f>O41*T41</f>
        <v>6295.262265657816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29</v>
      </c>
      <c r="I42" s="4">
        <v>13</v>
      </c>
      <c r="J42" s="4">
        <v>49</v>
      </c>
      <c r="K42" s="4"/>
      <c r="L42" s="4"/>
      <c r="M42" s="4"/>
      <c r="N42" s="4"/>
      <c r="O42" s="4">
        <v>130358</v>
      </c>
      <c r="Q42" s="13">
        <f>O42*$Q$15</f>
        <v>6706.1609969265419</v>
      </c>
      <c r="R42" s="14"/>
      <c r="S42" s="1">
        <f>H42*24+I42+J42/60+K42/3600</f>
        <v>709.81666666666672</v>
      </c>
      <c r="T42" s="15">
        <f>Q15+(Q16-Q15)*(S42-S15)/(S16-S15)</f>
        <v>5.2428196404297349E-2</v>
      </c>
      <c r="U42" s="16">
        <f>O42*T42</f>
        <v>6834.4348268713939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29</v>
      </c>
      <c r="I43" s="4">
        <v>13</v>
      </c>
      <c r="J43" s="4">
        <v>51</v>
      </c>
      <c r="K43" s="4"/>
      <c r="L43" s="4"/>
      <c r="M43" s="4"/>
      <c r="N43" s="4"/>
      <c r="O43" s="4">
        <v>189882</v>
      </c>
      <c r="Q43" s="13">
        <f>O43*$Q$15</f>
        <v>9768.3246323079948</v>
      </c>
      <c r="R43" s="14"/>
      <c r="S43" s="1">
        <f>H43*24+I43+J43/60+K43/3600</f>
        <v>709.85</v>
      </c>
      <c r="T43" s="15">
        <f>Q15+(Q16-Q15)*(S43-S15)/(S16-S15)</f>
        <v>5.2442154020627539E-2</v>
      </c>
      <c r="U43" s="16">
        <f>O43*T43</f>
        <v>9957.8210897447989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29</v>
      </c>
      <c r="I44" s="4">
        <v>13</v>
      </c>
      <c r="J44" s="4">
        <v>52</v>
      </c>
      <c r="K44" s="4"/>
      <c r="L44" s="4"/>
      <c r="M44" s="4"/>
      <c r="N44" s="4"/>
      <c r="O44" s="4">
        <v>170608</v>
      </c>
      <c r="Q44" s="13">
        <f>O44*$Q$15</f>
        <v>8776.7894211605217</v>
      </c>
      <c r="R44" s="14"/>
      <c r="S44" s="1">
        <f>H44*24+I44+J44/60+K44/3600</f>
        <v>709.86666666666667</v>
      </c>
      <c r="T44" s="15">
        <f>Q15+(Q16-Q15)*(S44-S15)/(S16-S15)</f>
        <v>5.2449132828792634E-2</v>
      </c>
      <c r="U44" s="16">
        <f>O44*T44</f>
        <v>8948.2416536546534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29</v>
      </c>
      <c r="I45" s="4">
        <v>13</v>
      </c>
      <c r="J45" s="4">
        <v>53</v>
      </c>
      <c r="K45" s="4"/>
      <c r="L45" s="4"/>
      <c r="M45" s="4"/>
      <c r="N45" s="4"/>
      <c r="O45" s="4">
        <v>190046</v>
      </c>
      <c r="Q45" s="13">
        <f>O45*$Q$15</f>
        <v>9776.76147855829</v>
      </c>
      <c r="R45" s="14"/>
      <c r="S45" s="1">
        <f>H45*24+I45+J45/60+K45/3600</f>
        <v>709.88333333333333</v>
      </c>
      <c r="T45" s="15">
        <f>Q15+(Q16-Q15)*(S45-S15)/(S16-S15)</f>
        <v>5.2456111636957729E-2</v>
      </c>
      <c r="U45" s="16">
        <f>O45*T45</f>
        <v>9969.074192157268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29</v>
      </c>
      <c r="I46" s="4">
        <v>13</v>
      </c>
      <c r="J46" s="4">
        <v>53</v>
      </c>
      <c r="K46" s="4"/>
      <c r="L46" s="4"/>
      <c r="M46" s="4"/>
      <c r="N46" s="4"/>
      <c r="O46" s="4">
        <v>339434</v>
      </c>
      <c r="Q46" s="13">
        <f>O46*$Q$15</f>
        <v>17461.905305625765</v>
      </c>
      <c r="R46" s="14"/>
      <c r="S46" s="1">
        <f>H46*24+I46+J46/60+K46/3600</f>
        <v>709.88333333333333</v>
      </c>
      <c r="T46" s="15">
        <f>Q15+(Q16-Q15)*(S46-S15)/(S16-S15)</f>
        <v>5.2456111636957729E-2</v>
      </c>
      <c r="U46" s="16">
        <f>O46*T46</f>
        <v>17805.38779737911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29</v>
      </c>
      <c r="I47" s="4">
        <v>13</v>
      </c>
      <c r="J47" s="4">
        <v>54</v>
      </c>
      <c r="K47" s="4"/>
      <c r="L47" s="4"/>
      <c r="M47" s="4"/>
      <c r="N47" s="4"/>
      <c r="O47" s="4">
        <v>423311</v>
      </c>
      <c r="Q47" s="13">
        <f>O47*$Q$15</f>
        <v>21776.889164991571</v>
      </c>
      <c r="R47" s="14"/>
      <c r="S47" s="1">
        <f>H47*24+I47+J47/60+K47/3600</f>
        <v>709.9</v>
      </c>
      <c r="T47" s="15">
        <f>Q15+(Q16-Q15)*(S47-S15)/(S16-S15)</f>
        <v>5.2463090445122824E-2</v>
      </c>
      <c r="U47" s="16">
        <f>O47*T47</f>
        <v>22208.203279415389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29</v>
      </c>
      <c r="I48" s="4">
        <v>13</v>
      </c>
      <c r="J48" s="4">
        <v>57</v>
      </c>
      <c r="K48" s="4"/>
      <c r="L48" s="4"/>
      <c r="M48" s="4"/>
      <c r="N48" s="4"/>
      <c r="O48" s="4">
        <v>405878</v>
      </c>
      <c r="Q48" s="13">
        <f>O48*$Q$15</f>
        <v>20880.062697422105</v>
      </c>
      <c r="R48" s="14"/>
      <c r="S48" s="1">
        <f>H48*24+I48+J48/60+K48/3600</f>
        <v>709.95</v>
      </c>
      <c r="T48" s="15">
        <f>Q15+(Q16-Q15)*(S48-S15)/(S16-S15)</f>
        <v>5.2484026869618151E-2</v>
      </c>
      <c r="U48" s="16">
        <f>O48*T48</f>
        <v>21302.111857786876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29</v>
      </c>
      <c r="I49" s="4">
        <v>13</v>
      </c>
      <c r="J49" s="4">
        <v>58</v>
      </c>
      <c r="K49" s="4"/>
      <c r="L49" s="4"/>
      <c r="M49" s="4"/>
      <c r="N49" s="4"/>
      <c r="O49" s="4">
        <v>361046</v>
      </c>
      <c r="Q49" s="13">
        <f>O49*$Q$15</f>
        <v>18573.717020024396</v>
      </c>
      <c r="R49" s="14"/>
      <c r="S49" s="1">
        <f>H49*24+I49+J49/60+K49/3600</f>
        <v>709.9666666666667</v>
      </c>
      <c r="T49" s="15">
        <f>Q15+(Q16-Q15)*(S49-S15)/(S16-S15)</f>
        <v>5.2491005677783246E-2</v>
      </c>
      <c r="U49" s="16">
        <f>O49*T49</f>
        <v>18951.667635940928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29</v>
      </c>
      <c r="I50" s="4">
        <v>13</v>
      </c>
      <c r="J50" s="4">
        <v>58</v>
      </c>
      <c r="K50" s="4"/>
      <c r="L50" s="4"/>
      <c r="M50" s="4"/>
      <c r="N50" s="4"/>
      <c r="O50" s="4">
        <v>343702</v>
      </c>
      <c r="Q50" s="13">
        <f>O50*$Q$15</f>
        <v>17681.469084871249</v>
      </c>
      <c r="R50" s="14"/>
      <c r="S50" s="1">
        <f>H50*24+I50+J50/60+K50/3600</f>
        <v>709.9666666666667</v>
      </c>
      <c r="T50" s="15">
        <f>Q15+(Q16-Q15)*(S50-S15)/(S16-S15)</f>
        <v>5.2491005677783246E-2</v>
      </c>
      <c r="U50" s="16">
        <f>O50*T50</f>
        <v>18041.263633465456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29</v>
      </c>
      <c r="I51" s="4">
        <v>13</v>
      </c>
      <c r="J51" s="4">
        <v>59</v>
      </c>
      <c r="K51" s="4"/>
      <c r="L51" s="4"/>
      <c r="M51" s="4"/>
      <c r="N51" s="4"/>
      <c r="O51" s="4">
        <v>354538</v>
      </c>
      <c r="Q51" s="13">
        <f>O51*$Q$15</f>
        <v>18238.918267604153</v>
      </c>
      <c r="R51" s="14"/>
      <c r="S51" s="1">
        <f>H51*24+I51+J51/60+K51/3600</f>
        <v>709.98333333333335</v>
      </c>
      <c r="T51" s="15">
        <f>Q15+(Q16-Q15)*(S51-S15)/(S16-S15)</f>
        <v>5.2497984485948342E-2</v>
      </c>
      <c r="U51" s="16">
        <f>O51*T51</f>
        <v>18612.530423679153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29</v>
      </c>
      <c r="I52" s="4">
        <v>14</v>
      </c>
      <c r="J52" s="4">
        <v>0</v>
      </c>
      <c r="K52" s="4"/>
      <c r="L52" s="4"/>
      <c r="M52" s="4"/>
      <c r="N52" s="4"/>
      <c r="O52" s="4">
        <v>115629</v>
      </c>
      <c r="Q52" s="13">
        <f>O52*$Q$15</f>
        <v>5948.4396041180371</v>
      </c>
      <c r="R52" s="14"/>
      <c r="S52" s="1">
        <f>H52*24+I52+J52/60+K52/3600</f>
        <v>710</v>
      </c>
      <c r="T52" s="15">
        <f>Q15+(Q16-Q15)*(S52-S15)/(S16-S15)</f>
        <v>5.2504963294113437E-2</v>
      </c>
      <c r="U52" s="16">
        <f>O52*T52</f>
        <v>6071.0964007350422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29</v>
      </c>
      <c r="I53" s="4">
        <v>14</v>
      </c>
      <c r="J53" s="4">
        <v>1</v>
      </c>
      <c r="K53" s="4"/>
      <c r="L53" s="4"/>
      <c r="M53" s="4"/>
      <c r="N53" s="4"/>
      <c r="O53" s="4">
        <v>113395</v>
      </c>
      <c r="Q53" s="13">
        <f>O53*$Q$15</f>
        <v>5833.5132960499941</v>
      </c>
      <c r="R53" s="14"/>
      <c r="S53" s="1">
        <f>H53*24+I53+J53/60+K53/3600</f>
        <v>710.01666666666665</v>
      </c>
      <c r="T53" s="15">
        <f>Q15+(Q16-Q15)*(S53-S15)/(S16-S15)</f>
        <v>5.2511942102278532E-2</v>
      </c>
      <c r="U53" s="16">
        <f>O53*T53</f>
        <v>5954.5916746878738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29</v>
      </c>
      <c r="I54" s="4">
        <v>14</v>
      </c>
      <c r="J54" s="4">
        <v>2</v>
      </c>
      <c r="K54" s="4">
        <v>0</v>
      </c>
      <c r="L54" s="4"/>
      <c r="M54" s="4"/>
      <c r="N54" s="4"/>
      <c r="O54" s="4">
        <v>123315</v>
      </c>
      <c r="Q54" s="13">
        <f>O54*$Q$15</f>
        <v>6343.839605823935</v>
      </c>
      <c r="R54" s="14"/>
      <c r="S54" s="1">
        <f>H54*24+I54+J54/60+K54/3600</f>
        <v>710.0333333333333</v>
      </c>
      <c r="T54" s="15">
        <f>Q15+(Q16-Q15)*(S54-S15)/(S16-S15)</f>
        <v>5.251892091044362E-2</v>
      </c>
      <c r="U54" s="16">
        <f>O54*T54</f>
        <v>6476.3707320713547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29</v>
      </c>
      <c r="I55" s="4">
        <v>14</v>
      </c>
      <c r="J55" s="4">
        <v>3</v>
      </c>
      <c r="K55" s="4"/>
      <c r="L55" s="4"/>
      <c r="M55" s="4"/>
      <c r="N55" s="4"/>
      <c r="O55" s="4">
        <v>123360</v>
      </c>
      <c r="Q55" s="13">
        <f>O55*$Q$15</f>
        <v>6346.1545941243203</v>
      </c>
      <c r="R55" s="14"/>
      <c r="S55" s="1">
        <f>H55*24+I55+J55/60+K55/3600</f>
        <v>710.05</v>
      </c>
      <c r="T55" s="15">
        <f>Q15+(Q16-Q15)*(S55-S15)/(S16-S15)</f>
        <v>5.2525899718608715E-2</v>
      </c>
      <c r="U55" s="16">
        <f>O55*T55</f>
        <v>6479.5949892875715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29</v>
      </c>
      <c r="I56" s="4">
        <v>14</v>
      </c>
      <c r="J56" s="4">
        <v>4</v>
      </c>
      <c r="K56" s="4"/>
      <c r="L56" s="4"/>
      <c r="M56" s="4"/>
      <c r="N56" s="4"/>
      <c r="O56" s="4">
        <v>124131</v>
      </c>
      <c r="Q56" s="13">
        <f>O56*$Q$15</f>
        <v>6385.8180603375977</v>
      </c>
      <c r="R56" s="14"/>
      <c r="S56" s="1">
        <f>H56*24+I56+J56/60+K56/3600</f>
        <v>710.06666666666672</v>
      </c>
      <c r="T56" s="15">
        <f>Q15+(Q16-Q15)*(S56-S15)/(S16-S15)</f>
        <v>5.2532878526773859E-2</v>
      </c>
      <c r="U56" s="16">
        <f>O56*T56</f>
        <v>6520.9587444069657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29</v>
      </c>
      <c r="I57" s="4">
        <v>14</v>
      </c>
      <c r="J57" s="4">
        <v>5</v>
      </c>
      <c r="K57" s="4"/>
      <c r="L57" s="4"/>
      <c r="M57" s="4"/>
      <c r="N57" s="4"/>
      <c r="O57" s="4">
        <v>288360</v>
      </c>
      <c r="Q57" s="13">
        <f>O57*$Q$15</f>
        <v>14834.445028872316</v>
      </c>
      <c r="R57" s="14"/>
      <c r="S57" s="1">
        <f>H57*24+I57+J57/60+K57/3600</f>
        <v>710.08333333333337</v>
      </c>
      <c r="T57" s="15">
        <f>Q15+(Q16-Q15)*(S57-S15)/(S16-S15)</f>
        <v>5.2539857334938954E-2</v>
      </c>
      <c r="U57" s="16">
        <f>O57*T57</f>
        <v>15150.393261102996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29</v>
      </c>
      <c r="I58" s="4">
        <v>14</v>
      </c>
      <c r="J58" s="4">
        <v>6</v>
      </c>
      <c r="K58" s="4"/>
      <c r="L58" s="4"/>
      <c r="M58" s="4"/>
      <c r="N58" s="4"/>
      <c r="O58" s="4">
        <v>244061</v>
      </c>
      <c r="Q58" s="13">
        <f>O58*$Q$15</f>
        <v>12555.519101788066</v>
      </c>
      <c r="R58" s="14"/>
      <c r="S58" s="1">
        <f>H58*24+I58+J58/60+K58/3600</f>
        <v>710.1</v>
      </c>
      <c r="T58" s="15">
        <f>Q15+(Q16-Q15)*(S58-S15)/(S16-S15)</f>
        <v>5.2546836143104049E-2</v>
      </c>
      <c r="U58" s="16">
        <f>O58*T58</f>
        <v>12824.633375922118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29</v>
      </c>
      <c r="I59" s="4">
        <v>14</v>
      </c>
      <c r="J59" s="4">
        <v>7</v>
      </c>
      <c r="K59" s="4"/>
      <c r="L59" s="4"/>
      <c r="M59" s="4"/>
      <c r="N59" s="4"/>
      <c r="O59" s="4">
        <v>221514</v>
      </c>
      <c r="Q59" s="13">
        <f>O59*$Q$15</f>
        <v>11395.607074925865</v>
      </c>
      <c r="R59" s="14"/>
      <c r="S59" s="1">
        <f>H59*24+I59+J59/60+K59/3600</f>
        <v>710.11666666666667</v>
      </c>
      <c r="T59" s="15">
        <f>Q15+(Q16-Q15)*(S59-S15)/(S16-S15)</f>
        <v>5.2553814951269144E-2</v>
      </c>
      <c r="U59" s="16">
        <f>O59*T59</f>
        <v>11641.405765115433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7</v>
      </c>
      <c r="H60" s="4">
        <v>29</v>
      </c>
      <c r="I60" s="4">
        <v>14</v>
      </c>
      <c r="J60" s="4">
        <v>8</v>
      </c>
      <c r="K60" s="4"/>
      <c r="L60" s="4"/>
      <c r="M60" s="4"/>
      <c r="N60" s="4"/>
      <c r="O60" s="4">
        <v>356304</v>
      </c>
      <c r="Q60" s="13">
        <f>O60*$Q$15</f>
        <v>18329.768697348183</v>
      </c>
      <c r="R60" s="14"/>
      <c r="S60" s="1">
        <f>H60*24+I60+J60/60+K60/3600</f>
        <v>710.13333333333333</v>
      </c>
      <c r="T60" s="15">
        <f>Q15+(Q16-Q15)*(S60-S15)/(S16-S15)</f>
        <v>5.2560793759434232E-2</v>
      </c>
      <c r="U60" s="16">
        <f>O60*T60</f>
        <v>18727.621059661455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7</v>
      </c>
      <c r="H61" s="4">
        <v>29</v>
      </c>
      <c r="I61" s="4">
        <v>11</v>
      </c>
      <c r="J61" s="4">
        <v>30</v>
      </c>
      <c r="K61" s="4"/>
      <c r="L61" s="4"/>
      <c r="M61" s="4"/>
      <c r="N61" s="4"/>
      <c r="O61" s="4">
        <v>242634</v>
      </c>
      <c r="Q61" s="13">
        <f>O61*$Q$15</f>
        <v>12482.108250573609</v>
      </c>
      <c r="R61" s="14"/>
      <c r="S61" s="1">
        <f>H61*24+I61+J61/60+K61/3600</f>
        <v>707.5</v>
      </c>
      <c r="T61" s="15">
        <f>Q15+(Q16-Q15)*(S61-S15)/(S16-S15)</f>
        <v>5.1458142069348352E-2</v>
      </c>
      <c r="U61" s="16">
        <f>O61*T61</f>
        <v>12485.494842854268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29</v>
      </c>
      <c r="I62" s="4">
        <v>11</v>
      </c>
      <c r="J62" s="4">
        <v>31</v>
      </c>
      <c r="K62" s="4"/>
      <c r="L62" s="4"/>
      <c r="M62" s="4"/>
      <c r="N62" s="4"/>
      <c r="O62" s="4">
        <v>222502</v>
      </c>
      <c r="Q62" s="13">
        <f>O62*$Q$15</f>
        <v>11446.433929165447</v>
      </c>
      <c r="R62" s="14"/>
      <c r="S62" s="1">
        <f>H62*24+I62+J62/60+K62/3600</f>
        <v>707.51666666666665</v>
      </c>
      <c r="T62" s="15">
        <f>Q15+(Q16-Q15)*(S62-S15)/(S16-S15)</f>
        <v>5.1465120877513447E-2</v>
      </c>
      <c r="U62" s="16">
        <f>O62*T62</f>
        <v>11451.092325488496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29</v>
      </c>
      <c r="I63" s="4">
        <v>11</v>
      </c>
      <c r="J63" s="4">
        <v>32</v>
      </c>
      <c r="K63" s="4"/>
      <c r="L63" s="4"/>
      <c r="M63" s="4"/>
      <c r="N63" s="4"/>
      <c r="O63" s="4">
        <v>216787</v>
      </c>
      <c r="Q63" s="13">
        <f>O63*$Q$15</f>
        <v>11152.430415016448</v>
      </c>
      <c r="R63" s="14"/>
      <c r="S63" s="1">
        <f>H63*24+I63+J63/60+K63/3600</f>
        <v>707.5333333333333</v>
      </c>
      <c r="T63" s="15">
        <f>Q15+(Q16-Q15)*(S63-S15)/(S16-S15)</f>
        <v>5.1472099685678535E-2</v>
      </c>
      <c r="U63" s="16">
        <f>O63*T63</f>
        <v>11158.482074559193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29</v>
      </c>
      <c r="I64" s="4">
        <v>11</v>
      </c>
      <c r="J64" s="4">
        <v>33</v>
      </c>
      <c r="K64" s="4"/>
      <c r="L64" s="4"/>
      <c r="M64" s="4"/>
      <c r="N64" s="4"/>
      <c r="O64" s="4">
        <v>202410</v>
      </c>
      <c r="Q64" s="13">
        <f>O64*$Q$15</f>
        <v>10412.817375135406</v>
      </c>
      <c r="R64" s="14"/>
      <c r="S64" s="1">
        <f>H64*24+I64+J64/60+K64/3600</f>
        <v>707.55</v>
      </c>
      <c r="T64" s="15">
        <f>Q15+(Q16-Q15)*(S64-S15)/(S16-S15)</f>
        <v>5.147907849384363E-2</v>
      </c>
      <c r="U64" s="16">
        <f>O64*T64</f>
        <v>10419.88027793889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29</v>
      </c>
      <c r="I65" s="4">
        <v>11</v>
      </c>
      <c r="J65" s="4">
        <v>34</v>
      </c>
      <c r="K65" s="4"/>
      <c r="L65" s="4"/>
      <c r="M65" s="4"/>
      <c r="N65" s="4"/>
      <c r="O65" s="4">
        <v>202589</v>
      </c>
      <c r="Q65" s="13">
        <f>O65*$Q$15</f>
        <v>10422.025884152496</v>
      </c>
      <c r="R65" s="14"/>
      <c r="S65" s="1">
        <f>H65*24+I65+J65/60+K65/3600</f>
        <v>707.56666666666672</v>
      </c>
      <c r="T65" s="15">
        <f>Q15+(Q16-Q15)*(S65-S15)/(S16-S15)</f>
        <v>5.1486057302008774E-2</v>
      </c>
      <c r="U65" s="16">
        <f>O65*T65</f>
        <v>10430.508862756655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29</v>
      </c>
      <c r="I66" s="4">
        <v>11</v>
      </c>
      <c r="J66" s="4">
        <v>35</v>
      </c>
      <c r="K66" s="4"/>
      <c r="L66" s="4"/>
      <c r="M66" s="4"/>
      <c r="N66" s="4"/>
      <c r="O66" s="4">
        <v>69293</v>
      </c>
      <c r="Q66" s="13">
        <f>O66*$Q$15</f>
        <v>3564.7218733029877</v>
      </c>
      <c r="R66" s="14"/>
      <c r="S66" s="1">
        <f>H66*24+I66+J66/60+K66/3600</f>
        <v>707.58333333333337</v>
      </c>
      <c r="T66" s="15">
        <f>Q15+(Q16-Q15)*(S66-S15)/(S16-S15)</f>
        <v>5.1493036110173869E-2</v>
      </c>
      <c r="U66" s="16">
        <f>O66*T66</f>
        <v>3568.106951182278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29</v>
      </c>
      <c r="I67" s="4">
        <v>11</v>
      </c>
      <c r="J67" s="4">
        <v>36</v>
      </c>
      <c r="K67" s="4"/>
      <c r="L67" s="4"/>
      <c r="M67" s="4"/>
      <c r="N67" s="4"/>
      <c r="O67" s="4">
        <v>118598</v>
      </c>
      <c r="Q67" s="13">
        <f>O67*$Q$15</f>
        <v>6101.1773877590476</v>
      </c>
      <c r="R67" s="14"/>
      <c r="S67" s="1">
        <f>H67*24+I67+J67/60+K67/3600</f>
        <v>707.6</v>
      </c>
      <c r="T67" s="15">
        <f>Q15+(Q16-Q15)*(S67-S15)/(S16-S15)</f>
        <v>5.1500014918338964E-2</v>
      </c>
      <c r="U67" s="16">
        <f>O67*T67</f>
        <v>6107.7987692851648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29</v>
      </c>
      <c r="I68" s="4">
        <v>11</v>
      </c>
      <c r="J68" s="4">
        <v>37</v>
      </c>
      <c r="K68" s="4"/>
      <c r="L68" s="4"/>
      <c r="M68" s="4"/>
      <c r="N68" s="4"/>
      <c r="O68" s="4">
        <v>56683</v>
      </c>
      <c r="Q68" s="13">
        <f>O68*$Q$15</f>
        <v>2916.0107073504287</v>
      </c>
      <c r="R68" s="14"/>
      <c r="S68" s="1">
        <f>H68*24+I68+J68/60+K68/3600</f>
        <v>707.61666666666667</v>
      </c>
      <c r="T68" s="15">
        <f>Q15+(Q16-Q15)*(S68-S15)/(S16-S15)</f>
        <v>5.1506993726504059E-2</v>
      </c>
      <c r="U68" s="16">
        <f>O68*T68</f>
        <v>2919.5709253994296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29</v>
      </c>
      <c r="I69" s="4">
        <v>11</v>
      </c>
      <c r="J69" s="4">
        <v>38</v>
      </c>
      <c r="K69" s="4"/>
      <c r="L69" s="4"/>
      <c r="M69" s="4"/>
      <c r="N69" s="4"/>
      <c r="O69" s="4">
        <v>58408</v>
      </c>
      <c r="Q69" s="13">
        <f>O69*$Q$15</f>
        <v>3004.7519255318848</v>
      </c>
      <c r="R69" s="14"/>
      <c r="S69" s="1">
        <f>H69*24+I69+J69/60+K69/3600</f>
        <v>707.63333333333333</v>
      </c>
      <c r="T69" s="15">
        <f>Q15+(Q16-Q15)*(S69-S15)/(S16-S15)</f>
        <v>5.1513972534669154E-2</v>
      </c>
      <c r="U69" s="16">
        <f>O69*T69</f>
        <v>3008.8281078049558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29</v>
      </c>
      <c r="I70" s="4">
        <v>11</v>
      </c>
      <c r="J70" s="4">
        <v>39</v>
      </c>
      <c r="K70" s="4"/>
      <c r="L70" s="4"/>
      <c r="M70" s="4"/>
      <c r="N70" s="4"/>
      <c r="O70" s="4">
        <v>57424</v>
      </c>
      <c r="Q70" s="13">
        <f>O70*$Q$15</f>
        <v>2954.130848030115</v>
      </c>
      <c r="R70" s="14"/>
      <c r="S70" s="1">
        <f>H70*24+I70+J70/60+K70/3600</f>
        <v>707.65</v>
      </c>
      <c r="T70" s="15">
        <f>Q15+(Q16-Q15)*(S70-S15)/(S16-S15)</f>
        <v>5.1520951342834242E-2</v>
      </c>
      <c r="U70" s="16">
        <f>O70*T70</f>
        <v>2958.5391099109133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29</v>
      </c>
      <c r="I71" s="4">
        <v>11</v>
      </c>
      <c r="J71" s="4">
        <v>40</v>
      </c>
      <c r="K71" s="4"/>
      <c r="L71" s="4"/>
      <c r="M71" s="4"/>
      <c r="N71" s="4"/>
      <c r="O71" s="4">
        <v>113907</v>
      </c>
      <c r="Q71" s="13">
        <f>O71*$Q$15</f>
        <v>5859.8527184899394</v>
      </c>
      <c r="R71" s="14"/>
      <c r="S71" s="1">
        <f>H71*24+I71+J71/60+K71/3600</f>
        <v>707.66666666666663</v>
      </c>
      <c r="T71" s="15">
        <f>Q15+(Q16-Q15)*(S71-S15)/(S16-S15)</f>
        <v>5.1527930150999338E-2</v>
      </c>
      <c r="U71" s="16">
        <f>O71*T71</f>
        <v>5869.3919397098816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29</v>
      </c>
      <c r="I72" s="4">
        <v>11</v>
      </c>
      <c r="J72" s="4">
        <v>41</v>
      </c>
      <c r="K72" s="4"/>
      <c r="L72" s="4"/>
      <c r="M72" s="4"/>
      <c r="N72" s="4"/>
      <c r="O72" s="4">
        <v>124842</v>
      </c>
      <c r="Q72" s="13">
        <f>O72*$Q$15</f>
        <v>6422.3948754836929</v>
      </c>
      <c r="R72" s="14"/>
      <c r="S72" s="1">
        <f>H72*24+I72+J72/60+K72/3600</f>
        <v>707.68333333333328</v>
      </c>
      <c r="T72" s="15">
        <f>Q15+(Q16-Q15)*(S72-S15)/(S16-S15)</f>
        <v>5.1534908959164433E-2</v>
      </c>
      <c r="U72" s="16">
        <f>O72*T72</f>
        <v>6433.7211042800063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29</v>
      </c>
      <c r="I73" s="4">
        <v>11</v>
      </c>
      <c r="J73" s="29">
        <v>42</v>
      </c>
      <c r="K73" s="29"/>
      <c r="L73" s="29"/>
      <c r="M73" s="29"/>
      <c r="N73" s="29"/>
      <c r="O73" s="29">
        <v>100778</v>
      </c>
      <c r="P73" s="2"/>
      <c r="Q73" s="30">
        <f>O73*$Q$15</f>
        <v>5184.4420208062647</v>
      </c>
      <c r="R73" s="31"/>
      <c r="S73" s="2">
        <f>H73*24+I73+J73/60+K73/3600</f>
        <v>707.7</v>
      </c>
      <c r="T73" s="32">
        <f>Q15+(Q16-Q15)*(S73-S15)/(S16-S15)</f>
        <v>5.1541887767329576E-2</v>
      </c>
      <c r="U73" s="33">
        <f>O73*T73</f>
        <v>5194.2883654159405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>
        <v>29</v>
      </c>
      <c r="I74" s="4">
        <v>11</v>
      </c>
      <c r="J74" s="4">
        <v>43</v>
      </c>
      <c r="K74" s="4"/>
      <c r="L74" s="4"/>
      <c r="M74" s="4"/>
      <c r="N74" s="4"/>
      <c r="O74" s="4">
        <v>100678</v>
      </c>
      <c r="Q74" s="13">
        <f>O74*$Q$15</f>
        <v>5179.2976023609626</v>
      </c>
      <c r="R74" s="14"/>
      <c r="S74" s="1">
        <f>H74*24+I74+J74/60+K74/3600</f>
        <v>707.7166666666667</v>
      </c>
      <c r="T74" s="15">
        <f>Q15+(Q16-Q15)*(S74-S15)/(S16-S15)</f>
        <v>5.1548866575494671E-2</v>
      </c>
      <c r="U74" s="16">
        <f>O74*T74</f>
        <v>5189.8367890876525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29</v>
      </c>
      <c r="I75" s="4">
        <v>11</v>
      </c>
      <c r="J75" s="4">
        <v>44</v>
      </c>
      <c r="K75" s="4"/>
      <c r="L75" s="4"/>
      <c r="M75" s="4"/>
      <c r="N75" s="4"/>
      <c r="O75" s="4">
        <v>822818</v>
      </c>
      <c r="Q75" s="13">
        <f>O75*$Q$15</f>
        <v>42329.200963263494</v>
      </c>
      <c r="R75" s="14"/>
      <c r="S75" s="1">
        <f>H75*24+I75+J75/60+K75/3600</f>
        <v>707.73333333333335</v>
      </c>
      <c r="T75" s="15">
        <f>Q15+(Q16-Q15)*(S75-S15)/(S16-S15)</f>
        <v>5.1555845383659767E-2</v>
      </c>
      <c r="U75" s="16">
        <f>O75*T75</f>
        <v>42421.077586892163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29</v>
      </c>
      <c r="I76" s="4">
        <v>11</v>
      </c>
      <c r="J76" s="4">
        <v>47</v>
      </c>
      <c r="K76" s="4"/>
      <c r="L76" s="4"/>
      <c r="M76" s="4"/>
      <c r="N76" s="4"/>
      <c r="O76" s="4">
        <v>800400</v>
      </c>
      <c r="Q76" s="13">
        <f>O76*$Q$15</f>
        <v>41175.925236195733</v>
      </c>
      <c r="R76" s="14"/>
      <c r="S76" s="1">
        <f>H76*24+I76+J76/60+K76/3600</f>
        <v>707.7833333333333</v>
      </c>
      <c r="T76" s="15">
        <f>Q15+(Q16-Q15)*(S76-S15)/(S16-S15)</f>
        <v>5.1576781808155045E-2</v>
      </c>
      <c r="U76" s="16">
        <f>O76*T76</f>
        <v>41282.056159247295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29</v>
      </c>
      <c r="I77" s="4">
        <v>11</v>
      </c>
      <c r="J77" s="4">
        <v>46</v>
      </c>
      <c r="K77" s="4"/>
      <c r="L77" s="4"/>
      <c r="M77" s="4"/>
      <c r="N77" s="4"/>
      <c r="O77" s="4">
        <v>798120</v>
      </c>
      <c r="Q77" s="13">
        <f>O77*$Q$15</f>
        <v>41058.632495642858</v>
      </c>
      <c r="R77" s="14"/>
      <c r="S77" s="1">
        <f>H77*24+I77+J77/60+K77/3600</f>
        <v>707.76666666666665</v>
      </c>
      <c r="T77" s="15">
        <f>Q15+(Q16-Q15)*(S77-S15)/(S16-S15)</f>
        <v>5.156980299998995E-2</v>
      </c>
      <c r="U77" s="16">
        <f>O77*T77</f>
        <v>41158.891170351977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29</v>
      </c>
      <c r="I78" s="4">
        <v>11</v>
      </c>
      <c r="J78" s="4">
        <v>48</v>
      </c>
      <c r="K78" s="4"/>
      <c r="L78" s="4"/>
      <c r="M78" s="4"/>
      <c r="N78" s="4"/>
      <c r="O78" s="4">
        <v>755922</v>
      </c>
      <c r="Q78" s="13">
        <f>O78*$Q$15</f>
        <v>38887.790800094393</v>
      </c>
      <c r="R78" s="14"/>
      <c r="S78" s="1">
        <f>H78*24+I78+J78/60+K78/3600</f>
        <v>707.8</v>
      </c>
      <c r="T78" s="15">
        <f>Q15+(Q16-Q15)*(S78-S15)/(S16-S15)</f>
        <v>5.158376061632014E-2</v>
      </c>
      <c r="U78" s="16">
        <f>O78*T78</f>
        <v>38993.299492609956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29</v>
      </c>
      <c r="I79" s="4">
        <v>11</v>
      </c>
      <c r="J79" s="4">
        <v>49</v>
      </c>
      <c r="K79" s="4"/>
      <c r="L79" s="4"/>
      <c r="M79" s="4"/>
      <c r="N79" s="4"/>
      <c r="O79" s="4">
        <v>874419</v>
      </c>
      <c r="Q79" s="13">
        <f>O79*$Q$15</f>
        <v>44983.77232522369</v>
      </c>
      <c r="R79" s="14"/>
      <c r="S79" s="1">
        <f>H79*24+I79+J79/60+K79/3600</f>
        <v>707.81666666666672</v>
      </c>
      <c r="T79" s="15">
        <f>Q15+(Q16-Q15)*(S79-S15)/(S16-S15)</f>
        <v>5.1590739424485284E-2</v>
      </c>
      <c r="U79" s="16">
        <f>O79*T79</f>
        <v>45111.922776818996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29</v>
      </c>
      <c r="I80" s="4">
        <v>11</v>
      </c>
      <c r="J80" s="4">
        <v>51</v>
      </c>
      <c r="K80" s="4"/>
      <c r="L80" s="4"/>
      <c r="M80" s="4"/>
      <c r="N80" s="4"/>
      <c r="O80" s="4">
        <v>300042</v>
      </c>
      <c r="Q80" s="13">
        <f>O80*$Q$15</f>
        <v>15435.415991652475</v>
      </c>
      <c r="R80" s="14"/>
      <c r="S80" s="1">
        <f>H80*24+I80+J80/60+K80/3600</f>
        <v>707.85</v>
      </c>
      <c r="T80" s="15">
        <f>Q15+(Q16-Q15)*(S80-S15)/(S16-S15)</f>
        <v>5.1604697040815474E-2</v>
      </c>
      <c r="U80" s="16">
        <f>O80*T80</f>
        <v>15483.576509520357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29</v>
      </c>
      <c r="I81" s="4">
        <v>11</v>
      </c>
      <c r="J81" s="4">
        <v>52</v>
      </c>
      <c r="K81" s="4"/>
      <c r="L81" s="4"/>
      <c r="M81" s="4"/>
      <c r="N81" s="4"/>
      <c r="O81" s="4">
        <v>325338</v>
      </c>
      <c r="Q81" s="13">
        <f>O81*$Q$15</f>
        <v>16736.748081576021</v>
      </c>
      <c r="R81" s="14"/>
      <c r="S81" s="1">
        <f>H81*24+I81+J81/60+K81/3600</f>
        <v>707.86666666666667</v>
      </c>
      <c r="T81" s="15">
        <f>Q15+(Q16-Q15)*(S81-S15)/(S16-S15)</f>
        <v>5.1611675848980562E-2</v>
      </c>
      <c r="U81" s="33">
        <f>O81*T81</f>
        <v>16791.239397355639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29</v>
      </c>
      <c r="I82" s="4">
        <v>11</v>
      </c>
      <c r="J82" s="4">
        <v>53</v>
      </c>
      <c r="K82" s="4"/>
      <c r="L82" s="4"/>
      <c r="M82" s="4"/>
      <c r="N82" s="4"/>
      <c r="O82" s="4">
        <v>285638</v>
      </c>
      <c r="Q82" s="13">
        <f>O82*$Q$15</f>
        <v>14694.413958791201</v>
      </c>
      <c r="R82" s="14"/>
      <c r="S82" s="1">
        <f>H82*24+I82+J82/60+K82/3600</f>
        <v>707.88333333333333</v>
      </c>
      <c r="T82" s="15">
        <f>Q15+(Q16-Q15)*(S82-S15)/(S16-S15)</f>
        <v>5.1618654657145657E-2</v>
      </c>
      <c r="U82" s="16">
        <f>O82*T82</f>
        <v>14744.249278957772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29</v>
      </c>
      <c r="I83" s="4">
        <v>11</v>
      </c>
      <c r="J83" s="4">
        <v>55</v>
      </c>
      <c r="K83" s="4"/>
      <c r="L83" s="4"/>
      <c r="M83" s="4"/>
      <c r="N83" s="4"/>
      <c r="O83" s="4">
        <v>377462</v>
      </c>
      <c r="Q83" s="13">
        <f>O83*$Q$15</f>
        <v>19418.224752005142</v>
      </c>
      <c r="R83" s="14"/>
      <c r="S83" s="1">
        <f>H83*24+I83+J83/60+K83/3600</f>
        <v>707.91666666666663</v>
      </c>
      <c r="T83" s="15">
        <f>Q15+(Q16-Q15)*(S83-S15)/(S16-S15)</f>
        <v>5.1632612273475847E-2</v>
      </c>
      <c r="U83" s="16">
        <f>O83*T83</f>
        <v>19489.349093970741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29</v>
      </c>
      <c r="I84" s="4">
        <v>11</v>
      </c>
      <c r="J84" s="4">
        <v>56</v>
      </c>
      <c r="K84" s="4"/>
      <c r="L84" s="4"/>
      <c r="M84" s="4"/>
      <c r="N84" s="4"/>
      <c r="O84" s="4">
        <v>367682</v>
      </c>
      <c r="Q84" s="13">
        <f>O84*$Q$15</f>
        <v>18915.100628054624</v>
      </c>
      <c r="R84" s="14"/>
      <c r="S84" s="1">
        <f>H84*24+I84+J84/60+K84/3600</f>
        <v>707.93333333333328</v>
      </c>
      <c r="T84" s="15">
        <f>Q15+(Q16-Q15)*(S84-S15)/(S16-S15)</f>
        <v>5.1639591081640943E-2</v>
      </c>
      <c r="U84" s="16">
        <f>O84*T84</f>
        <v>18986.948128079905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29</v>
      </c>
      <c r="I85" s="4">
        <v>11</v>
      </c>
      <c r="J85" s="4">
        <v>59</v>
      </c>
      <c r="K85" s="4"/>
      <c r="L85" s="4"/>
      <c r="M85" s="4"/>
      <c r="N85" s="4"/>
      <c r="O85" s="4">
        <v>455754</v>
      </c>
      <c r="Q85" s="13">
        <f>O85*$Q$15</f>
        <v>23445.892841200839</v>
      </c>
      <c r="R85" s="14"/>
      <c r="S85" s="1">
        <f>H85*24+I85+J85/60+K85/3600</f>
        <v>707.98333333333335</v>
      </c>
      <c r="T85" s="15">
        <f>Q$15+(Q$16-Q$15)*(S85-S$15)/(S$16-S$15)</f>
        <v>5.166052750613627E-2</v>
      </c>
      <c r="U85" s="16">
        <f>O85*T85</f>
        <v>23544.49205303163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29</v>
      </c>
      <c r="I86" s="4">
        <v>12</v>
      </c>
      <c r="J86" s="4">
        <v>0</v>
      </c>
      <c r="K86" s="4"/>
      <c r="L86" s="4"/>
      <c r="M86" s="4"/>
      <c r="N86" s="4"/>
      <c r="O86" s="4">
        <v>478554</v>
      </c>
      <c r="Q86" s="13">
        <f>O86*$Q$15</f>
        <v>24618.820246729654</v>
      </c>
      <c r="R86" s="14"/>
      <c r="S86" s="1">
        <f>H86*24+I86+J86/60+K86/3600</f>
        <v>708</v>
      </c>
      <c r="T86" s="15">
        <f>Q$15+(Q$16-Q$15)*(S86-S$15)/(S$16-S$15)</f>
        <v>5.1667506314301365E-2</v>
      </c>
      <c r="U86" s="16">
        <f>O86*T86</f>
        <v>24725.691816734176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29</v>
      </c>
      <c r="I87" s="4">
        <v>12</v>
      </c>
      <c r="J87" s="29">
        <v>1</v>
      </c>
      <c r="K87" s="29"/>
      <c r="L87" s="29"/>
      <c r="M87" s="29"/>
      <c r="N87" s="29"/>
      <c r="O87" s="29">
        <v>471643</v>
      </c>
      <c r="P87" s="2"/>
      <c r="Q87" s="30">
        <f>O87*$Q$15</f>
        <v>24263.289487974846</v>
      </c>
      <c r="R87" s="31"/>
      <c r="S87" s="2">
        <f>H87*24+I87+J87/60+K87/3600</f>
        <v>708.01666666666665</v>
      </c>
      <c r="T87" s="15">
        <f>Q$15+(Q$16-Q$15)*(S87-S$15)/(S$16-S$15)</f>
        <v>5.167448512246646E-2</v>
      </c>
      <c r="U87" s="16">
        <f>O87*T87</f>
        <v>24371.909186615449</v>
      </c>
    </row>
    <row r="88" spans="1:21" ht="15.75">
      <c r="C88" s="18">
        <v>70</v>
      </c>
      <c r="F88" s="4">
        <v>2013</v>
      </c>
      <c r="G88" s="4">
        <v>7</v>
      </c>
      <c r="H88" s="4">
        <v>29</v>
      </c>
      <c r="I88" s="4">
        <v>12</v>
      </c>
      <c r="J88" s="1">
        <v>3</v>
      </c>
      <c r="O88" s="29">
        <v>540368</v>
      </c>
      <c r="Q88" s="34">
        <f>O88*$Q$15</f>
        <v>27798.791064508518</v>
      </c>
      <c r="S88" s="1">
        <f>H88*24+I88+J88/60+K88/3600</f>
        <v>708.05</v>
      </c>
      <c r="T88" s="15">
        <f>Q$15+(Q$16-Q$15)*(S88-S$15)/(S$16-S$15)</f>
        <v>5.168844273879665E-2</v>
      </c>
      <c r="U88" s="16">
        <f>O88*T88</f>
        <v>27930.780425878067</v>
      </c>
    </row>
    <row r="89" spans="1:21" ht="15.75">
      <c r="C89">
        <v>71</v>
      </c>
      <c r="F89" s="4">
        <v>2013</v>
      </c>
      <c r="G89" s="4">
        <v>7</v>
      </c>
      <c r="H89" s="4">
        <v>29</v>
      </c>
      <c r="I89" s="4">
        <v>12</v>
      </c>
      <c r="J89" s="1">
        <v>11</v>
      </c>
      <c r="O89" s="1">
        <v>912163</v>
      </c>
      <c r="Q89" s="34">
        <f>O89*$Q$15</f>
        <v>46925.481623218402</v>
      </c>
      <c r="S89" s="1">
        <f>H89*24+I89+J89/60+K89/3600</f>
        <v>708.18333333333328</v>
      </c>
      <c r="T89" s="15">
        <f>Q$15+(Q$16-Q$15)*(S89-S$15)/(S$16-S$15)</f>
        <v>5.1744273204117452E-2</v>
      </c>
      <c r="U89" s="33">
        <f>O89*T89</f>
        <v>47199.211478687386</v>
      </c>
    </row>
    <row r="90" spans="1:21">
      <c r="C90" s="18">
        <v>72</v>
      </c>
      <c r="F90" s="4">
        <v>2013</v>
      </c>
      <c r="G90" s="4">
        <v>7</v>
      </c>
      <c r="H90" s="4">
        <v>29</v>
      </c>
      <c r="I90" s="4">
        <v>12</v>
      </c>
      <c r="J90" s="1">
        <v>12</v>
      </c>
      <c r="O90" s="1">
        <v>891805</v>
      </c>
      <c r="Q90" s="34">
        <f>O90*$Q$15</f>
        <v>45878.180916123863</v>
      </c>
      <c r="S90" s="1">
        <f>H90*24+I90+J90/60+K90/3600</f>
        <v>708.2</v>
      </c>
      <c r="T90" s="15">
        <f>Q$15+(Q$16-Q$15)*(S90-S$15)/(S$16-S$15)</f>
        <v>5.1751252012282596E-2</v>
      </c>
      <c r="U90" s="16">
        <f>O90*T90</f>
        <v>46152.025300813679</v>
      </c>
    </row>
    <row r="91" spans="1:21">
      <c r="C91" s="18">
        <v>73</v>
      </c>
      <c r="F91" s="4">
        <v>2013</v>
      </c>
      <c r="G91" s="4">
        <v>7</v>
      </c>
      <c r="H91" s="4">
        <v>29</v>
      </c>
      <c r="I91" s="4">
        <v>12</v>
      </c>
      <c r="J91" s="1">
        <v>13</v>
      </c>
      <c r="O91" s="1">
        <v>810755</v>
      </c>
      <c r="Q91" s="34">
        <f>O91*$Q$15</f>
        <v>41708.629766206737</v>
      </c>
      <c r="S91" s="1">
        <f>H91*24+I91+J91/60+K91/3600</f>
        <v>708.2166666666667</v>
      </c>
      <c r="T91" s="15">
        <f>Q$15+(Q$16-Q$15)*(S91-S$15)/(S$16-S$15)</f>
        <v>5.1758230820447684E-2</v>
      </c>
      <c r="U91" s="16">
        <f>O91*T91</f>
        <v>41963.244428832062</v>
      </c>
    </row>
    <row r="92" spans="1:21">
      <c r="C92">
        <v>74</v>
      </c>
      <c r="F92" s="4">
        <v>2013</v>
      </c>
      <c r="G92" s="4">
        <v>7</v>
      </c>
      <c r="H92" s="4">
        <v>29</v>
      </c>
      <c r="I92" s="4">
        <v>12</v>
      </c>
      <c r="J92" s="1">
        <v>14</v>
      </c>
      <c r="O92" s="1">
        <v>880528</v>
      </c>
      <c r="Q92" s="34">
        <f>O92*$Q$15</f>
        <v>45298.044848047175</v>
      </c>
      <c r="S92" s="1">
        <f>H92*24+I92+J92/60+K92/3600</f>
        <v>708.23333333333335</v>
      </c>
      <c r="T92" s="15">
        <f>Q$15+(Q$16-Q$15)*(S92-S$15)/(S$16-S$15)</f>
        <v>5.1765209628612779E-2</v>
      </c>
      <c r="U92" s="16">
        <f>O92*T92</f>
        <v>45580.71650386315</v>
      </c>
    </row>
    <row r="93" spans="1:21">
      <c r="C93" s="18">
        <v>75</v>
      </c>
      <c r="F93" s="4">
        <v>2013</v>
      </c>
      <c r="G93" s="4">
        <v>7</v>
      </c>
      <c r="H93" s="4">
        <v>29</v>
      </c>
      <c r="I93" s="4">
        <v>12</v>
      </c>
      <c r="J93" s="1">
        <v>15</v>
      </c>
      <c r="O93" s="1">
        <v>855130</v>
      </c>
      <c r="Q93" s="34">
        <f>O93*$Q$15</f>
        <v>43991.465451309421</v>
      </c>
      <c r="S93" s="1">
        <f>H93*24+I93+J93/60+K93/3600</f>
        <v>708.25</v>
      </c>
      <c r="T93" s="15">
        <f>Q$15+(Q$16-Q$15)*(S93-S$15)/(S$16-S$15)</f>
        <v>5.1772188436777875E-2</v>
      </c>
      <c r="U93" s="16">
        <f>O93*T93</f>
        <v>44271.951497941867</v>
      </c>
    </row>
    <row r="94" spans="1:21">
      <c r="C94" s="18">
        <v>76</v>
      </c>
      <c r="F94" s="4">
        <v>2013</v>
      </c>
      <c r="G94" s="4">
        <v>7</v>
      </c>
      <c r="H94" s="4">
        <v>29</v>
      </c>
      <c r="I94" s="4">
        <v>12</v>
      </c>
      <c r="J94" s="1">
        <v>18</v>
      </c>
      <c r="O94" s="1">
        <v>290691</v>
      </c>
      <c r="Q94" s="34">
        <f>O94*$Q$15</f>
        <v>14954.361422832302</v>
      </c>
      <c r="S94" s="1">
        <f>H94*24+I94+J94/60+K94/3600</f>
        <v>708.3</v>
      </c>
      <c r="T94" s="15">
        <f>Q$15+(Q$16-Q$15)*(S94-S$15)/(S$16-S$15)</f>
        <v>5.179312486127316E-2</v>
      </c>
      <c r="U94" s="16">
        <f>O94*T94</f>
        <v>15055.795259048356</v>
      </c>
    </row>
    <row r="95" spans="1:21">
      <c r="C95">
        <v>77</v>
      </c>
      <c r="F95" s="4">
        <v>2013</v>
      </c>
      <c r="G95" s="4">
        <v>7</v>
      </c>
      <c r="H95" s="4">
        <v>29</v>
      </c>
      <c r="I95" s="4">
        <v>12</v>
      </c>
      <c r="J95" s="1">
        <v>17</v>
      </c>
      <c r="O95" s="1">
        <v>292829</v>
      </c>
      <c r="Q95" s="34">
        <f>O95*$Q$15</f>
        <v>15064.349089192856</v>
      </c>
      <c r="S95" s="1">
        <f>H95*24+I95+J95/60+K95/3600</f>
        <v>708.2833333333333</v>
      </c>
      <c r="T95" s="15">
        <f>Q$15+(Q$16-Q$15)*(S95-S$15)/(S$16-S$15)</f>
        <v>5.1786146053108065E-2</v>
      </c>
      <c r="U95" s="16">
        <f>O95*T95</f>
        <v>15164.485362585581</v>
      </c>
    </row>
    <row r="96" spans="1:21">
      <c r="C96" s="18">
        <v>78</v>
      </c>
      <c r="F96" s="4">
        <v>2013</v>
      </c>
      <c r="G96" s="4">
        <v>7</v>
      </c>
      <c r="H96" s="4">
        <v>29</v>
      </c>
      <c r="I96" s="4">
        <v>12</v>
      </c>
      <c r="J96" s="1">
        <v>18</v>
      </c>
      <c r="O96" s="1">
        <v>282533</v>
      </c>
      <c r="Q96" s="34">
        <f>O96*$Q$15</f>
        <v>14534.679766064581</v>
      </c>
      <c r="S96" s="1">
        <f>H96*24+I96+J96/60+K96/3600</f>
        <v>708.3</v>
      </c>
      <c r="T96" s="15">
        <f>Q$15+(Q$16-Q$15)*(S96-S$15)/(S$16-S$15)</f>
        <v>5.179312486127316E-2</v>
      </c>
      <c r="U96" s="16">
        <f>O96*T96</f>
        <v>14633.266946430089</v>
      </c>
    </row>
    <row r="97" spans="3:21" ht="15.75">
      <c r="C97" s="18">
        <v>79</v>
      </c>
      <c r="F97" s="4">
        <v>2013</v>
      </c>
      <c r="G97" s="4">
        <v>7</v>
      </c>
      <c r="H97" s="4">
        <v>29</v>
      </c>
      <c r="I97" s="4">
        <v>12</v>
      </c>
      <c r="J97" s="1">
        <v>19</v>
      </c>
      <c r="O97" s="1">
        <v>255888</v>
      </c>
      <c r="Q97" s="34">
        <f>O97*$Q$15</f>
        <v>13163.949471313912</v>
      </c>
      <c r="S97" s="1">
        <f>H97*24+I97+J97/60+K97/3600</f>
        <v>708.31666666666672</v>
      </c>
      <c r="T97" s="15">
        <f>Q$15+(Q$16-Q$15)*(S97-S$15)/(S$16-S$15)</f>
        <v>5.1800103669438297E-2</v>
      </c>
      <c r="U97" s="33">
        <f>O97*T97</f>
        <v>13255.024927765227</v>
      </c>
    </row>
    <row r="98" spans="3:21">
      <c r="C98">
        <v>80</v>
      </c>
      <c r="F98" s="4">
        <v>2013</v>
      </c>
      <c r="G98" s="4">
        <v>7</v>
      </c>
      <c r="H98" s="4">
        <v>29</v>
      </c>
      <c r="I98" s="4">
        <v>12</v>
      </c>
      <c r="J98" s="1">
        <v>23</v>
      </c>
      <c r="O98" s="1">
        <v>267994</v>
      </c>
      <c r="Q98" s="34">
        <f>O98*$Q$15</f>
        <v>13786.732768302149</v>
      </c>
      <c r="S98" s="1">
        <f>H98*24+I98+J98/60+K98/3600</f>
        <v>708.38333333333333</v>
      </c>
      <c r="T98" s="15">
        <f>Q$15+(Q$16-Q$15)*(S98-S$15)/(S$16-S$15)</f>
        <v>5.1828018902098677E-2</v>
      </c>
      <c r="U98" s="16">
        <f>O98*T98</f>
        <v>13889.598097649034</v>
      </c>
    </row>
    <row r="99" spans="3:21">
      <c r="C99" s="18">
        <v>81</v>
      </c>
      <c r="F99" s="4">
        <v>2013</v>
      </c>
      <c r="G99" s="4">
        <v>7</v>
      </c>
      <c r="H99" s="4">
        <v>29</v>
      </c>
      <c r="I99" s="4">
        <v>12</v>
      </c>
      <c r="J99" s="1">
        <v>24</v>
      </c>
      <c r="O99" s="1">
        <v>623984</v>
      </c>
      <c r="Q99" s="34">
        <f>O99*$Q$15</f>
        <v>32100.347991732084</v>
      </c>
      <c r="S99" s="1">
        <f>H99*24+I99+J99/60+K99/3600</f>
        <v>708.4</v>
      </c>
      <c r="T99" s="15">
        <f>Q$15+(Q$16-Q$15)*(S99-S$15)/(S$16-S$15)</f>
        <v>5.1834997710263772E-2</v>
      </c>
      <c r="U99" s="16">
        <f>O99*T99</f>
        <v>32344.209211241228</v>
      </c>
    </row>
    <row r="100" spans="3:21">
      <c r="C100" s="18">
        <v>82</v>
      </c>
      <c r="F100" s="4">
        <v>2013</v>
      </c>
      <c r="G100" s="4">
        <v>7</v>
      </c>
      <c r="H100" s="4">
        <v>29</v>
      </c>
      <c r="I100" s="4">
        <v>12</v>
      </c>
      <c r="J100" s="1">
        <v>25</v>
      </c>
      <c r="O100" s="1">
        <v>686615</v>
      </c>
      <c r="Q100" s="34">
        <f>O100*$Q$15</f>
        <v>35322.348708209065</v>
      </c>
      <c r="S100" s="1">
        <f>H100*24+I100+J100/60+K100/3600</f>
        <v>708.41666666666663</v>
      </c>
      <c r="T100" s="15">
        <f>Q$15+(Q$16-Q$15)*(S100-S$15)/(S$16-S$15)</f>
        <v>5.1841976518428867E-2</v>
      </c>
      <c r="U100" s="16">
        <f>O100*T100</f>
        <v>35595.478707201037</v>
      </c>
    </row>
    <row r="101" spans="3:21">
      <c r="C101">
        <v>83</v>
      </c>
      <c r="F101" s="4">
        <v>2013</v>
      </c>
      <c r="G101" s="4">
        <v>7</v>
      </c>
      <c r="H101" s="4">
        <v>29</v>
      </c>
      <c r="I101" s="4">
        <v>12</v>
      </c>
      <c r="J101" s="1">
        <v>25</v>
      </c>
      <c r="O101" s="1">
        <v>664224</v>
      </c>
      <c r="Q101" s="34">
        <f>O101*$Q$15</f>
        <v>34170.461974121536</v>
      </c>
      <c r="S101" s="1">
        <f>H101*24+I101+J101/60+K101/3600</f>
        <v>708.41666666666663</v>
      </c>
      <c r="T101" s="15">
        <f>Q$15+(Q$16-Q$15)*(S101-S$15)/(S$16-S$15)</f>
        <v>5.1841976518428867E-2</v>
      </c>
      <c r="U101" s="16">
        <f>O101*T101</f>
        <v>34434.685010976893</v>
      </c>
    </row>
    <row r="102" spans="3:21">
      <c r="C102" s="18">
        <v>84</v>
      </c>
      <c r="F102" s="4">
        <v>2013</v>
      </c>
      <c r="G102" s="4">
        <v>7</v>
      </c>
      <c r="H102" s="4">
        <v>29</v>
      </c>
      <c r="I102" s="4">
        <v>12</v>
      </c>
      <c r="J102" s="1">
        <v>26</v>
      </c>
      <c r="O102" s="1">
        <v>166282</v>
      </c>
      <c r="Q102" s="34">
        <f>O102*$Q$15</f>
        <v>8554.2418792167664</v>
      </c>
      <c r="S102" s="1">
        <f>H102*24+I102+J102/60+K102/3600</f>
        <v>708.43333333333328</v>
      </c>
      <c r="T102" s="15">
        <f>Q$15+(Q$16-Q$15)*(S102-S$15)/(S$16-S$15)</f>
        <v>5.1848955326593962E-2</v>
      </c>
      <c r="U102" s="16">
        <f>O102*T102</f>
        <v>8621.547989616698</v>
      </c>
    </row>
  </sheetData>
  <conditionalFormatting sqref="N88:N65536">
    <cfRule type="cellIs" dxfId="11" priority="2" operator="greaterThan">
      <formula>300000</formula>
    </cfRule>
  </conditionalFormatting>
  <conditionalFormatting sqref="Q19:Q87">
    <cfRule type="cellIs" dxfId="10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2"/>
  <sheetViews>
    <sheetView topLeftCell="B1" zoomScaleNormal="100" workbookViewId="0">
      <selection activeCell="S19" sqref="S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30</v>
      </c>
      <c r="I2" s="4">
        <v>13</v>
      </c>
      <c r="J2" s="4">
        <v>5</v>
      </c>
      <c r="K2" s="4"/>
      <c r="L2" s="4"/>
      <c r="M2" s="4"/>
      <c r="N2" s="4"/>
      <c r="O2" s="4">
        <v>167766</v>
      </c>
      <c r="P2"/>
      <c r="Q2"/>
      <c r="R2"/>
      <c r="S2" s="1">
        <f>H2*24+I2+J2/60+K2/3600</f>
        <v>733.08333333333337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30</v>
      </c>
      <c r="I3" s="4">
        <v>13</v>
      </c>
      <c r="J3" s="4">
        <v>6</v>
      </c>
      <c r="K3" s="4"/>
      <c r="L3" s="4"/>
      <c r="M3" s="4"/>
      <c r="N3" s="4"/>
      <c r="O3" s="4">
        <v>172286</v>
      </c>
      <c r="P3"/>
      <c r="Q3"/>
      <c r="R3"/>
      <c r="S3" s="1">
        <f>H3*24+I3+J3/60+K3/3600</f>
        <v>733.1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30</v>
      </c>
      <c r="I4" s="4">
        <v>13</v>
      </c>
      <c r="J4" s="4">
        <v>7</v>
      </c>
      <c r="K4" s="4"/>
      <c r="L4" s="4"/>
      <c r="M4" s="4"/>
      <c r="N4" s="4"/>
      <c r="O4" s="4">
        <v>168659</v>
      </c>
      <c r="P4"/>
      <c r="Q4"/>
      <c r="R4"/>
      <c r="S4" s="1">
        <f>H4*24+I4+J4/60+K4/3600</f>
        <v>733.11666666666667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30</v>
      </c>
      <c r="I5" s="4">
        <v>13</v>
      </c>
      <c r="J5" s="4">
        <v>8</v>
      </c>
      <c r="K5" s="4"/>
      <c r="L5" s="4"/>
      <c r="M5" s="4"/>
      <c r="N5" s="4"/>
      <c r="O5" s="4">
        <v>166397</v>
      </c>
      <c r="P5"/>
      <c r="Q5"/>
      <c r="R5"/>
      <c r="S5" s="1">
        <f>H5*24+I5+J5/60+K5/3600</f>
        <v>733.13333333333333</v>
      </c>
      <c r="T5"/>
      <c r="U5"/>
    </row>
    <row r="6" spans="1:21">
      <c r="A6"/>
      <c r="C6" s="5"/>
      <c r="D6" s="5"/>
      <c r="E6" s="5"/>
      <c r="F6" s="4">
        <v>2013</v>
      </c>
      <c r="G6" s="4">
        <v>7</v>
      </c>
      <c r="H6" s="4">
        <v>30</v>
      </c>
      <c r="I6" s="4">
        <v>13</v>
      </c>
      <c r="J6" s="4">
        <v>8</v>
      </c>
      <c r="K6" s="4"/>
      <c r="L6" s="4"/>
      <c r="M6" s="6"/>
      <c r="N6" s="6"/>
      <c r="O6" s="6">
        <v>166445</v>
      </c>
      <c r="P6" s="5"/>
      <c r="Q6" s="5"/>
      <c r="R6" s="5"/>
      <c r="S6" s="5">
        <f>H6*24+I6+J6/60+K6/3600</f>
        <v>733.13333333333333</v>
      </c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30</v>
      </c>
      <c r="I7" s="4">
        <v>15</v>
      </c>
      <c r="J7" s="4">
        <v>13</v>
      </c>
      <c r="K7" s="4"/>
      <c r="L7" s="4"/>
      <c r="M7" s="4"/>
      <c r="N7" s="4"/>
      <c r="O7" s="4">
        <v>159629</v>
      </c>
      <c r="P7"/>
      <c r="Q7"/>
      <c r="R7"/>
      <c r="S7" s="1">
        <f>H7*24+I7+J7/60+K7/3600</f>
        <v>735.2166666666667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30</v>
      </c>
      <c r="I8" s="4">
        <v>15</v>
      </c>
      <c r="J8" s="4">
        <v>14</v>
      </c>
      <c r="K8" s="4"/>
      <c r="L8" s="4"/>
      <c r="M8" s="4"/>
      <c r="N8" s="4"/>
      <c r="O8" s="4">
        <v>160195</v>
      </c>
      <c r="P8"/>
      <c r="Q8"/>
      <c r="R8"/>
      <c r="S8" s="1">
        <f>H8*24+I8+J8/60+K8/3600</f>
        <v>735.23333333333335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30</v>
      </c>
      <c r="I9" s="4">
        <v>15</v>
      </c>
      <c r="J9" s="4">
        <v>15</v>
      </c>
      <c r="K9" s="4"/>
      <c r="L9" s="4"/>
      <c r="M9" s="4"/>
      <c r="N9" s="4"/>
      <c r="O9" s="4">
        <v>159386</v>
      </c>
      <c r="P9"/>
      <c r="Q9"/>
      <c r="R9"/>
      <c r="S9" s="1">
        <f>H9*24+I9+J9/60+K9/3600</f>
        <v>735.25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30</v>
      </c>
      <c r="I10" s="4">
        <v>15</v>
      </c>
      <c r="J10" s="4">
        <v>16</v>
      </c>
      <c r="K10" s="4"/>
      <c r="L10" s="4"/>
      <c r="M10" s="4"/>
      <c r="N10" s="4"/>
      <c r="O10" s="4">
        <v>163286</v>
      </c>
      <c r="P10"/>
      <c r="Q10"/>
      <c r="R10"/>
      <c r="S10" s="1">
        <f>H10*24+I10+J10/60+K10/3600</f>
        <v>735.26666666666665</v>
      </c>
      <c r="T10"/>
      <c r="U10"/>
    </row>
    <row r="11" spans="1:21">
      <c r="A11"/>
      <c r="D11"/>
      <c r="E11"/>
      <c r="F11" s="4">
        <v>2013</v>
      </c>
      <c r="G11" s="4">
        <v>7</v>
      </c>
      <c r="H11" s="4">
        <v>30</v>
      </c>
      <c r="I11" s="4">
        <v>15</v>
      </c>
      <c r="J11" s="4">
        <v>16</v>
      </c>
      <c r="K11" s="4"/>
      <c r="L11" s="4"/>
      <c r="M11" s="4"/>
      <c r="N11" s="4"/>
      <c r="O11" s="4">
        <v>164045</v>
      </c>
      <c r="P11"/>
      <c r="Q11"/>
      <c r="R11"/>
      <c r="S11" s="1">
        <f>H11*24+I11+J11/60+K11/3600</f>
        <v>735.26666666666665</v>
      </c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AVERAGE(O2:O11)</f>
        <v>164809.4</v>
      </c>
      <c r="Q15" s="8">
        <f>F15/O15</f>
        <v>5.4893713586725033E-2</v>
      </c>
      <c r="S15" s="1">
        <f>AVERAGE(S2:S6)</f>
        <v>733.11333333333334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161308.20000000001</v>
      </c>
      <c r="Q16" s="1">
        <f>F15/O16</f>
        <v>5.6085183518258835E-2</v>
      </c>
      <c r="S16" s="1">
        <f>AVERAGE(S7:S11)</f>
        <v>735.24666666666656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30</v>
      </c>
      <c r="I19" s="4">
        <v>13</v>
      </c>
      <c r="J19" s="4">
        <v>25</v>
      </c>
      <c r="K19" s="4"/>
      <c r="L19" s="4"/>
      <c r="M19" s="4"/>
      <c r="N19" s="4"/>
      <c r="O19" s="4">
        <v>23562</v>
      </c>
      <c r="Q19" s="13">
        <f>O19*$Q$15</f>
        <v>1293.4056795304152</v>
      </c>
      <c r="R19" s="14"/>
      <c r="S19" s="1">
        <f>H19*24+I19+J19/60+K19/3600</f>
        <v>733.41666666666663</v>
      </c>
      <c r="T19" s="15">
        <f>Q15+(Q16-Q15)*(S19-S15)/(S16-S15)</f>
        <v>5.5063125717614979E-2</v>
      </c>
      <c r="U19" s="16">
        <f>O19*T19</f>
        <v>1297.3973681584441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30</v>
      </c>
      <c r="I20" s="4">
        <v>13</v>
      </c>
      <c r="J20" s="4">
        <v>26</v>
      </c>
      <c r="K20" s="4"/>
      <c r="L20" s="4"/>
      <c r="M20" s="4"/>
      <c r="N20" s="4"/>
      <c r="O20" s="4">
        <v>13592</v>
      </c>
      <c r="Q20" s="13">
        <f>O20*$Q$15</f>
        <v>746.11535507076667</v>
      </c>
      <c r="R20" s="14"/>
      <c r="S20" s="1">
        <f>H20*24+I20+J20/60+K20/3600</f>
        <v>733.43333333333328</v>
      </c>
      <c r="T20" s="15">
        <f>Q15+(Q16-Q15)*(S20-S15)/(S16-S15)</f>
        <v>5.5072434076455075E-2</v>
      </c>
      <c r="U20" s="16">
        <f>O20*T20</f>
        <v>748.54452396717738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30</v>
      </c>
      <c r="I21" s="4">
        <v>13</v>
      </c>
      <c r="J21" s="4">
        <v>27</v>
      </c>
      <c r="K21" s="4"/>
      <c r="L21" s="4"/>
      <c r="M21" s="4"/>
      <c r="N21" s="4"/>
      <c r="O21" s="4">
        <v>24470</v>
      </c>
      <c r="Q21" s="13">
        <f>O21*$Q$15</f>
        <v>1343.2491714671617</v>
      </c>
      <c r="R21" s="14"/>
      <c r="S21" s="1">
        <f>H21*24+I21+J21/60+K21/3600</f>
        <v>733.45</v>
      </c>
      <c r="T21" s="15">
        <f>Q15+(Q16-Q15)*(S21-S15)/(S16-S15)</f>
        <v>5.508174243529524E-2</v>
      </c>
      <c r="U21" s="16">
        <f>O21*T21</f>
        <v>1347.8502373916745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30</v>
      </c>
      <c r="I22" s="4">
        <v>13</v>
      </c>
      <c r="J22" s="4">
        <v>28</v>
      </c>
      <c r="K22" s="4"/>
      <c r="L22" s="4"/>
      <c r="M22" s="4"/>
      <c r="N22" s="4"/>
      <c r="O22" s="4">
        <v>14778</v>
      </c>
      <c r="Q22" s="13">
        <f>O22*$Q$15</f>
        <v>811.21929938462256</v>
      </c>
      <c r="R22" s="14"/>
      <c r="S22" s="1">
        <f>H22*24+I22+J22/60+K22/3600</f>
        <v>733.4666666666667</v>
      </c>
      <c r="T22" s="15">
        <f>Q15+(Q16-Q15)*(S22-S15)/(S16-S15)</f>
        <v>5.5091050794135343E-2</v>
      </c>
      <c r="U22" s="16">
        <f>O22*T22</f>
        <v>814.13554863573211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30</v>
      </c>
      <c r="I23" s="4">
        <v>13</v>
      </c>
      <c r="J23" s="4">
        <v>29</v>
      </c>
      <c r="K23" s="4"/>
      <c r="L23" s="4"/>
      <c r="M23" s="4"/>
      <c r="N23" s="4"/>
      <c r="O23" s="4">
        <v>19824</v>
      </c>
      <c r="Q23" s="13">
        <f>O23*$Q$15</f>
        <v>1088.212978143237</v>
      </c>
      <c r="R23" s="14"/>
      <c r="S23" s="1">
        <f>H23*24+I23+J23/60+K23/3600</f>
        <v>733.48333333333335</v>
      </c>
      <c r="T23" s="15">
        <f>Q15+(Q16-Q15)*(S23-S15)/(S16-S15)</f>
        <v>5.5100359152975439E-2</v>
      </c>
      <c r="U23" s="16">
        <f>O23*T23</f>
        <v>1092.3095198485851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30</v>
      </c>
      <c r="I24" s="4">
        <v>13</v>
      </c>
      <c r="J24" s="4">
        <v>29</v>
      </c>
      <c r="K24" s="4"/>
      <c r="L24" s="4"/>
      <c r="M24" s="4"/>
      <c r="N24" s="4"/>
      <c r="O24" s="4">
        <v>14858</v>
      </c>
      <c r="Q24" s="13">
        <f>O24*$Q$15</f>
        <v>815.61079647156055</v>
      </c>
      <c r="R24" s="14"/>
      <c r="S24" s="1">
        <f>H24*24+I24+J24/60+K24/3600</f>
        <v>733.48333333333335</v>
      </c>
      <c r="T24" s="15">
        <f>Q15+(Q16-Q15)*(S24-S15)/(S16-S15)</f>
        <v>5.5100359152975439E-2</v>
      </c>
      <c r="U24" s="16">
        <f>O24*T24</f>
        <v>818.68113629490904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30</v>
      </c>
      <c r="I25" s="4">
        <v>13</v>
      </c>
      <c r="J25" s="4">
        <v>30</v>
      </c>
      <c r="K25" s="4"/>
      <c r="L25" s="4"/>
      <c r="M25" s="4"/>
      <c r="N25" s="4"/>
      <c r="O25" s="4">
        <v>15146</v>
      </c>
      <c r="Q25" s="13">
        <f>O25*$Q$15</f>
        <v>831.4201859845374</v>
      </c>
      <c r="R25" s="14"/>
      <c r="S25" s="1">
        <f>H25*24+I25+J25/60+K25/3600</f>
        <v>733.5</v>
      </c>
      <c r="T25" s="15">
        <f>Q15+(Q16-Q15)*(S25-S15)/(S16-S15)</f>
        <v>5.5109667511815542E-2</v>
      </c>
      <c r="U25" s="16">
        <f>O25*T25</f>
        <v>834.69102413395819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30</v>
      </c>
      <c r="I26" s="4">
        <v>13</v>
      </c>
      <c r="J26" s="4">
        <v>31</v>
      </c>
      <c r="K26" s="4"/>
      <c r="L26" s="4"/>
      <c r="M26" s="4"/>
      <c r="N26" s="4"/>
      <c r="O26" s="4">
        <v>12677</v>
      </c>
      <c r="Q26" s="13">
        <f>O26*$Q$15</f>
        <v>695.88760713891327</v>
      </c>
      <c r="R26" s="14"/>
      <c r="S26" s="1">
        <f>H26*24+I26+J26/60+K26/3600</f>
        <v>733.51666666666665</v>
      </c>
      <c r="T26" s="15">
        <f>Q15+(Q16-Q15)*(S26-S15)/(S16-S15)</f>
        <v>5.5118975870655638E-2</v>
      </c>
      <c r="U26" s="16">
        <f>O26*T26</f>
        <v>698.74325711230154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30</v>
      </c>
      <c r="I27" s="4">
        <v>13</v>
      </c>
      <c r="J27" s="4">
        <v>32</v>
      </c>
      <c r="K27" s="4"/>
      <c r="L27" s="4"/>
      <c r="M27" s="4"/>
      <c r="N27" s="4"/>
      <c r="O27" s="4">
        <v>13754</v>
      </c>
      <c r="Q27" s="13">
        <f>O27*$Q$15</f>
        <v>755.00813667181615</v>
      </c>
      <c r="R27" s="14"/>
      <c r="S27" s="1">
        <f>H27*24+I27+J27/60+K27/3600</f>
        <v>733.5333333333333</v>
      </c>
      <c r="T27" s="15">
        <f>Q15+(Q16-Q15)*(S27-S15)/(S16-S15)</f>
        <v>5.5128284229495741E-2</v>
      </c>
      <c r="U27" s="16">
        <f>O27*T27</f>
        <v>758.2344212924844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30</v>
      </c>
      <c r="I28" s="4">
        <v>13</v>
      </c>
      <c r="J28" s="4">
        <v>33</v>
      </c>
      <c r="K28" s="4"/>
      <c r="L28" s="4"/>
      <c r="M28" s="4"/>
      <c r="N28" s="4"/>
      <c r="O28" s="4">
        <v>21565</v>
      </c>
      <c r="Q28" s="13">
        <f>O28*$Q$15</f>
        <v>1183.7829334977253</v>
      </c>
      <c r="R28" s="14"/>
      <c r="S28" s="1">
        <f>H28*24+I28+J28/60+K28/3600</f>
        <v>733.55</v>
      </c>
      <c r="T28" s="15">
        <f>Q15+(Q16-Q15)*(S28-S15)/(S16-S15)</f>
        <v>5.5137592588335838E-2</v>
      </c>
      <c r="U28" s="16">
        <f>O28*T28</f>
        <v>1189.0421841674624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30</v>
      </c>
      <c r="I29" s="4">
        <v>13</v>
      </c>
      <c r="J29" s="4">
        <v>34</v>
      </c>
      <c r="K29" s="4"/>
      <c r="L29" s="4"/>
      <c r="M29" s="4"/>
      <c r="N29" s="4"/>
      <c r="O29" s="4">
        <v>13110</v>
      </c>
      <c r="Q29" s="13">
        <f>O29*$Q$15</f>
        <v>719.65658512196524</v>
      </c>
      <c r="R29" s="14"/>
      <c r="S29" s="1">
        <f>H29*24+I29+J29/60+K29/3600</f>
        <v>733.56666666666672</v>
      </c>
      <c r="T29" s="15">
        <f>Q15+(Q16-Q15)*(S29-S15)/(S16-S15)</f>
        <v>5.5146900947176003E-2</v>
      </c>
      <c r="U29" s="16">
        <f>O29*T29</f>
        <v>722.97587141747738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30</v>
      </c>
      <c r="I30" s="4">
        <v>13</v>
      </c>
      <c r="J30" s="4">
        <v>35</v>
      </c>
      <c r="K30" s="4"/>
      <c r="L30" s="4"/>
      <c r="M30" s="4"/>
      <c r="N30" s="4"/>
      <c r="O30" s="4">
        <v>17200</v>
      </c>
      <c r="Q30" s="13">
        <f>O30*$Q$15</f>
        <v>944.17187369167061</v>
      </c>
      <c r="R30" s="14"/>
      <c r="S30" s="1">
        <f>H30*24+I30+J30/60+K30/3600</f>
        <v>733.58333333333337</v>
      </c>
      <c r="T30" s="15">
        <f>Q15+(Q16-Q15)*(S30-S15)/(S16-S15)</f>
        <v>5.5156209306016106E-2</v>
      </c>
      <c r="U30" s="16">
        <f>O30*T30</f>
        <v>948.68680006347699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30</v>
      </c>
      <c r="I31" s="4">
        <v>13</v>
      </c>
      <c r="J31" s="4">
        <v>36</v>
      </c>
      <c r="K31" s="4"/>
      <c r="L31" s="4"/>
      <c r="M31" s="4"/>
      <c r="N31" s="4"/>
      <c r="O31" s="4">
        <v>13734</v>
      </c>
      <c r="Q31" s="13">
        <f>O31*$Q$15</f>
        <v>753.91026240008159</v>
      </c>
      <c r="R31" s="14"/>
      <c r="S31" s="1">
        <f>H31*24+I31+J31/60+K31/3600</f>
        <v>733.6</v>
      </c>
      <c r="T31" s="15">
        <f>Q15+(Q16-Q15)*(S31-S15)/(S16-S15)</f>
        <v>5.5165517664856202E-2</v>
      </c>
      <c r="U31" s="16">
        <f>O31*T31</f>
        <v>757.64321960913503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30</v>
      </c>
      <c r="I32" s="4">
        <v>13</v>
      </c>
      <c r="J32" s="4">
        <v>37</v>
      </c>
      <c r="K32" s="4"/>
      <c r="L32" s="4"/>
      <c r="M32" s="4"/>
      <c r="N32" s="4"/>
      <c r="O32" s="4">
        <v>13539</v>
      </c>
      <c r="Q32" s="13">
        <f>O32*$Q$15</f>
        <v>743.2059882506702</v>
      </c>
      <c r="R32" s="14"/>
      <c r="S32" s="1">
        <f>H32*24+I32+J32/60+K32/3600</f>
        <v>733.61666666666667</v>
      </c>
      <c r="T32" s="15">
        <f>Q15+(Q16-Q15)*(S32-S15)/(S16-S15)</f>
        <v>5.5174826023696305E-2</v>
      </c>
      <c r="U32" s="16">
        <f>O32*T32</f>
        <v>747.01196953482429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30</v>
      </c>
      <c r="I33" s="4">
        <v>13</v>
      </c>
      <c r="J33" s="4">
        <v>38</v>
      </c>
      <c r="K33" s="4"/>
      <c r="L33" s="4"/>
      <c r="M33" s="4"/>
      <c r="N33" s="4"/>
      <c r="O33" s="4">
        <v>17798</v>
      </c>
      <c r="Q33" s="13">
        <f>O33*$Q$15</f>
        <v>976.99831441653214</v>
      </c>
      <c r="R33" s="14"/>
      <c r="S33" s="1">
        <f>H33*24+I33+J33/60+K33/3600</f>
        <v>733.63333333333333</v>
      </c>
      <c r="T33" s="15">
        <f>Q15+(Q16-Q15)*(S33-S15)/(S16-S15)</f>
        <v>5.5184134382536401E-2</v>
      </c>
      <c r="U33" s="16">
        <f>O33*T33</f>
        <v>982.16722374038284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30</v>
      </c>
      <c r="I34" s="4">
        <v>13</v>
      </c>
      <c r="J34" s="4">
        <v>39</v>
      </c>
      <c r="K34" s="4"/>
      <c r="L34" s="4"/>
      <c r="M34" s="4"/>
      <c r="N34" s="4"/>
      <c r="O34" s="4">
        <v>59107</v>
      </c>
      <c r="Q34" s="13">
        <f>O34*$Q$15</f>
        <v>3244.6027289705567</v>
      </c>
      <c r="R34" s="14"/>
      <c r="S34" s="1">
        <f>H34*24+I34+J34/60+K34/3600</f>
        <v>733.65</v>
      </c>
      <c r="T34" s="15">
        <f>Q15+(Q16-Q15)*(S34-S15)/(S16-S15)</f>
        <v>5.5193442741376504E-2</v>
      </c>
      <c r="U34" s="16">
        <f>O34*T34</f>
        <v>3262.3188201145408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30</v>
      </c>
      <c r="I35" s="4">
        <v>13</v>
      </c>
      <c r="J35" s="4">
        <v>40</v>
      </c>
      <c r="K35" s="4"/>
      <c r="L35" s="4"/>
      <c r="M35" s="4"/>
      <c r="N35" s="4"/>
      <c r="O35" s="4">
        <v>212093</v>
      </c>
      <c r="Q35" s="13">
        <f>O35*$Q$15</f>
        <v>11642.572395749272</v>
      </c>
      <c r="R35" s="14"/>
      <c r="S35" s="1">
        <f>H35*24+I35+J35/60+K35/3600</f>
        <v>733.66666666666663</v>
      </c>
      <c r="T35" s="15">
        <f>Q15+(Q16-Q15)*(S35-S15)/(S16-S15)</f>
        <v>5.5202751100216607E-2</v>
      </c>
      <c r="U35" s="16">
        <f>O35*T35</f>
        <v>11708.117089098241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30</v>
      </c>
      <c r="I36" s="4">
        <v>13</v>
      </c>
      <c r="J36" s="6">
        <v>41</v>
      </c>
      <c r="K36" s="6"/>
      <c r="L36" s="6"/>
      <c r="M36" s="6"/>
      <c r="N36" s="6"/>
      <c r="O36" s="6">
        <v>32410</v>
      </c>
      <c r="P36" s="5" t="s">
        <v>93</v>
      </c>
      <c r="Q36" s="21">
        <f>O36*$Q$15</f>
        <v>1779.1052573457582</v>
      </c>
      <c r="R36" s="22"/>
      <c r="S36" s="5">
        <f>H36*24+I36+J36/60+K36/3600</f>
        <v>733.68333333333328</v>
      </c>
      <c r="T36" s="23">
        <f>Q15+(Q16-Q15)*(S36-S15)/(S16-S15)</f>
        <v>5.5212059459056703E-2</v>
      </c>
      <c r="U36" s="24">
        <f>O36*T36</f>
        <v>1789.4228470680277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30</v>
      </c>
      <c r="I37" s="4">
        <v>13</v>
      </c>
      <c r="J37" s="4">
        <v>42</v>
      </c>
      <c r="K37" s="4"/>
      <c r="L37" s="4"/>
      <c r="M37" s="4"/>
      <c r="N37" s="4"/>
      <c r="O37" s="4">
        <v>27360</v>
      </c>
      <c r="Q37" s="13">
        <f>O37*$Q$15</f>
        <v>1501.8920037327969</v>
      </c>
      <c r="R37" s="14"/>
      <c r="S37" s="1">
        <f>H37*24+I37+J37/60+K37/3600</f>
        <v>733.7</v>
      </c>
      <c r="T37" s="15">
        <f>Q15+(Q16-Q15)*(S37-S15)/(S16-S15)</f>
        <v>5.5221367817896869E-2</v>
      </c>
      <c r="U37" s="16">
        <f>O37*T37</f>
        <v>1510.8566234976583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30</v>
      </c>
      <c r="I38" s="4">
        <v>13</v>
      </c>
      <c r="J38" s="4">
        <v>43</v>
      </c>
      <c r="K38" s="4"/>
      <c r="L38" s="4"/>
      <c r="M38" s="4"/>
      <c r="N38" s="4"/>
      <c r="O38" s="4">
        <v>18573</v>
      </c>
      <c r="Q38" s="13">
        <f>O38*$Q$15</f>
        <v>1019.540942446244</v>
      </c>
      <c r="R38" s="14"/>
      <c r="S38" s="1">
        <f>H38*24+I38+J38/60+K38/3600</f>
        <v>733.7166666666667</v>
      </c>
      <c r="T38" s="15">
        <f>Q15+(Q16-Q15)*(S38-S15)/(S16-S15)</f>
        <v>5.5230676176736965E-2</v>
      </c>
      <c r="U38" s="16">
        <f>O38*T38</f>
        <v>1025.7993486305356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30</v>
      </c>
      <c r="I39" s="4">
        <v>13</v>
      </c>
      <c r="J39" s="6">
        <v>43</v>
      </c>
      <c r="K39" s="6"/>
      <c r="L39" s="6"/>
      <c r="M39" s="6"/>
      <c r="N39" s="6"/>
      <c r="O39" s="6">
        <v>14224</v>
      </c>
      <c r="P39" s="5"/>
      <c r="Q39" s="21">
        <f>O39*$Q$15</f>
        <v>780.80818205757691</v>
      </c>
      <c r="R39" s="22"/>
      <c r="S39" s="5">
        <f>H39*24+I39+J39/60+K39/3600</f>
        <v>733.7166666666667</v>
      </c>
      <c r="T39" s="23">
        <f>Q15+(Q16-Q15)*(S39-S15)/(S16-S15)</f>
        <v>5.5230676176736965E-2</v>
      </c>
      <c r="U39" s="24">
        <f>O39*T39</f>
        <v>785.60113793790663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30</v>
      </c>
      <c r="I40" s="4">
        <v>13</v>
      </c>
      <c r="J40" s="4">
        <v>44</v>
      </c>
      <c r="K40" s="4"/>
      <c r="L40" s="4"/>
      <c r="M40" s="4"/>
      <c r="N40" s="4"/>
      <c r="O40" s="4">
        <v>16427</v>
      </c>
      <c r="Q40" s="13">
        <f>O40*$Q$15</f>
        <v>901.73903308913214</v>
      </c>
      <c r="R40" s="14"/>
      <c r="S40" s="1">
        <f>H40*24+I40+J40/60+K40/3600</f>
        <v>733.73333333333335</v>
      </c>
      <c r="T40" s="15">
        <f>Q15+(Q16-Q15)*(S40-S15)/(S16-S15)</f>
        <v>5.5239984535577068E-2</v>
      </c>
      <c r="U40" s="16">
        <f>O40*T40</f>
        <v>907.42722596592444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30</v>
      </c>
      <c r="I41" s="4">
        <v>13</v>
      </c>
      <c r="J41" s="4">
        <v>46</v>
      </c>
      <c r="K41" s="4"/>
      <c r="L41" s="4"/>
      <c r="M41" s="4"/>
      <c r="N41" s="4"/>
      <c r="O41" s="4">
        <v>16040</v>
      </c>
      <c r="Q41" s="13">
        <f>O41*$Q$15</f>
        <v>880.49516593106955</v>
      </c>
      <c r="R41" s="14"/>
      <c r="S41" s="1">
        <f>H41*24+I41+J41/60+K41/3600</f>
        <v>733.76666666666665</v>
      </c>
      <c r="T41" s="15">
        <f>Q15+(Q16-Q15)*(S41-S15)/(S16-S15)</f>
        <v>5.5258601253257267E-2</v>
      </c>
      <c r="U41" s="16">
        <f>O41*T41</f>
        <v>886.34796410224658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30</v>
      </c>
      <c r="I42" s="4">
        <v>13</v>
      </c>
      <c r="J42" s="4">
        <v>46</v>
      </c>
      <c r="K42" s="4"/>
      <c r="L42" s="4"/>
      <c r="M42" s="4"/>
      <c r="N42" s="4"/>
      <c r="O42" s="4">
        <v>20150</v>
      </c>
      <c r="Q42" s="13">
        <f>O42*$Q$15</f>
        <v>1106.1083287725094</v>
      </c>
      <c r="R42" s="14"/>
      <c r="S42" s="1">
        <f>H42*24+I42+J42/60+K42/3600</f>
        <v>733.76666666666665</v>
      </c>
      <c r="T42" s="15">
        <f>Q15+(Q16-Q15)*(S42-S15)/(S16-S15)</f>
        <v>5.5258601253257267E-2</v>
      </c>
      <c r="U42" s="16">
        <f>O42*T42</f>
        <v>1113.4608152531339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30</v>
      </c>
      <c r="I43" s="4">
        <v>13</v>
      </c>
      <c r="J43" s="4">
        <v>48</v>
      </c>
      <c r="K43" s="4"/>
      <c r="L43" s="4"/>
      <c r="M43" s="4"/>
      <c r="N43" s="4"/>
      <c r="O43" s="4">
        <v>17139</v>
      </c>
      <c r="Q43" s="13">
        <f>O43*$Q$15</f>
        <v>940.82335716288037</v>
      </c>
      <c r="R43" s="14"/>
      <c r="S43" s="1">
        <f>H43*24+I43+J43/60+K43/3600</f>
        <v>733.8</v>
      </c>
      <c r="T43" s="15">
        <f>Q15+(Q16-Q15)*(S43-S15)/(S16-S15)</f>
        <v>5.5277217970937466E-2</v>
      </c>
      <c r="U43" s="16">
        <f>O43*T43</f>
        <v>947.39623880389718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30</v>
      </c>
      <c r="I44" s="4">
        <v>13</v>
      </c>
      <c r="J44" s="4">
        <v>50</v>
      </c>
      <c r="K44" s="4"/>
      <c r="L44" s="4"/>
      <c r="M44" s="4"/>
      <c r="N44" s="4"/>
      <c r="O44" s="4">
        <v>19315</v>
      </c>
      <c r="Q44" s="13">
        <f>O44*$Q$15</f>
        <v>1060.272077927594</v>
      </c>
      <c r="R44" s="14"/>
      <c r="S44" s="1">
        <f>H44*24+I44+J44/60+K44/3600</f>
        <v>733.83333333333337</v>
      </c>
      <c r="T44" s="15">
        <f>Q15+(Q16-Q15)*(S44-S15)/(S16-S15)</f>
        <v>5.5295834688617727E-2</v>
      </c>
      <c r="U44" s="16">
        <f>O44*T44</f>
        <v>1068.0390470106513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30</v>
      </c>
      <c r="I45" s="4">
        <v>13</v>
      </c>
      <c r="J45" s="4">
        <v>49</v>
      </c>
      <c r="K45" s="4"/>
      <c r="L45" s="4"/>
      <c r="M45" s="4"/>
      <c r="N45" s="4"/>
      <c r="O45" s="4">
        <v>18813</v>
      </c>
      <c r="Q45" s="13">
        <f>O45*$Q$15</f>
        <v>1032.7154337070581</v>
      </c>
      <c r="R45" s="14"/>
      <c r="S45" s="1">
        <f>H45*24+I45+J45/60+K45/3600</f>
        <v>733.81666666666672</v>
      </c>
      <c r="T45" s="15">
        <f>Q15+(Q16-Q15)*(S45-S15)/(S16-S15)</f>
        <v>5.5286526329777631E-2</v>
      </c>
      <c r="U45" s="16">
        <f>O45*T45</f>
        <v>1040.1054198421066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30</v>
      </c>
      <c r="I46" s="4">
        <v>13</v>
      </c>
      <c r="J46" s="4">
        <v>51</v>
      </c>
      <c r="K46" s="4"/>
      <c r="L46" s="4"/>
      <c r="M46" s="4"/>
      <c r="N46" s="4"/>
      <c r="O46" s="4">
        <v>376531</v>
      </c>
      <c r="Q46" s="13">
        <f>O46*$Q$15</f>
        <v>20669.184870523164</v>
      </c>
      <c r="R46" s="14"/>
      <c r="S46" s="1">
        <f>H46*24+I46+J46/60+K46/3600</f>
        <v>733.85</v>
      </c>
      <c r="T46" s="15">
        <f>Q15+(Q16-Q15)*(S46-S15)/(S16-S15)</f>
        <v>5.530514304745783E-2</v>
      </c>
      <c r="U46" s="16">
        <f>O46*T46</f>
        <v>20824.100816802344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30</v>
      </c>
      <c r="I47" s="4">
        <v>13</v>
      </c>
      <c r="J47" s="4">
        <v>52</v>
      </c>
      <c r="K47" s="4"/>
      <c r="L47" s="4"/>
      <c r="M47" s="4"/>
      <c r="N47" s="4"/>
      <c r="O47" s="4">
        <v>24328</v>
      </c>
      <c r="Q47" s="13">
        <f>O47*$Q$15</f>
        <v>1335.4542641378466</v>
      </c>
      <c r="R47" s="14"/>
      <c r="S47" s="1">
        <f>H47*24+I47+J47/60+K47/3600</f>
        <v>733.86666666666667</v>
      </c>
      <c r="T47" s="15">
        <f>Q15+(Q16-Q15)*(S47-S15)/(S16-S15)</f>
        <v>5.5314451406297926E-2</v>
      </c>
      <c r="U47" s="16">
        <f>O47*T47</f>
        <v>1345.6899738124159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30</v>
      </c>
      <c r="I48" s="4">
        <v>13</v>
      </c>
      <c r="J48" s="4">
        <v>53</v>
      </c>
      <c r="K48" s="4"/>
      <c r="L48" s="4"/>
      <c r="M48" s="4"/>
      <c r="N48" s="4"/>
      <c r="O48" s="4">
        <v>29754</v>
      </c>
      <c r="Q48" s="13">
        <f>O48*$Q$15</f>
        <v>1633.3075540594166</v>
      </c>
      <c r="R48" s="14"/>
      <c r="S48" s="1">
        <f>H48*24+I48+J48/60+K48/3600</f>
        <v>733.88333333333333</v>
      </c>
      <c r="T48" s="15">
        <f>Q15+(Q16-Q15)*(S48-S15)/(S16-S15)</f>
        <v>5.5323759765138029E-2</v>
      </c>
      <c r="U48" s="16">
        <f>O48*T48</f>
        <v>1646.1031480519168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30</v>
      </c>
      <c r="I49" s="4">
        <v>13</v>
      </c>
      <c r="J49" s="4">
        <v>54</v>
      </c>
      <c r="K49" s="4"/>
      <c r="L49" s="4"/>
      <c r="M49" s="4"/>
      <c r="N49" s="4"/>
      <c r="O49" s="4">
        <v>17069</v>
      </c>
      <c r="Q49" s="13">
        <f>O49*$Q$15</f>
        <v>936.98079721180954</v>
      </c>
      <c r="R49" s="14"/>
      <c r="S49" s="1">
        <f>H49*24+I49+J49/60+K49/3600</f>
        <v>733.9</v>
      </c>
      <c r="T49" s="15">
        <f>Q15+(Q16-Q15)*(S49-S15)/(S16-S15)</f>
        <v>5.5333068123978132E-2</v>
      </c>
      <c r="U49" s="16">
        <f>O49*T49</f>
        <v>944.4801398081828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30</v>
      </c>
      <c r="I50" s="4">
        <v>13</v>
      </c>
      <c r="J50" s="4">
        <v>55</v>
      </c>
      <c r="K50" s="4"/>
      <c r="L50" s="4"/>
      <c r="M50" s="4"/>
      <c r="N50" s="4"/>
      <c r="O50" s="4">
        <v>16134</v>
      </c>
      <c r="Q50" s="13">
        <f>O50*$Q$15</f>
        <v>885.6551750082217</v>
      </c>
      <c r="R50" s="14"/>
      <c r="S50" s="1">
        <f>H50*24+I50+J50/60+K50/3600</f>
        <v>733.91666666666663</v>
      </c>
      <c r="T50" s="15">
        <f>Q15+(Q16-Q15)*(S50-S15)/(S16-S15)</f>
        <v>5.5342376482818229E-2</v>
      </c>
      <c r="U50" s="16">
        <f>O50*T50</f>
        <v>892.89390217378934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30</v>
      </c>
      <c r="I51" s="4">
        <v>13</v>
      </c>
      <c r="J51" s="4">
        <v>56</v>
      </c>
      <c r="K51" s="4"/>
      <c r="L51" s="4"/>
      <c r="M51" s="4"/>
      <c r="N51" s="4"/>
      <c r="O51" s="4">
        <v>14787</v>
      </c>
      <c r="Q51" s="13">
        <f>O51*$Q$15</f>
        <v>811.71334280690303</v>
      </c>
      <c r="R51" s="14"/>
      <c r="S51" s="1">
        <f>H51*24+I51+J51/60+K51/3600</f>
        <v>733.93333333333328</v>
      </c>
      <c r="T51" s="15">
        <f>Q15+(Q16-Q15)*(S51-S15)/(S16-S15)</f>
        <v>5.5351684841658332E-2</v>
      </c>
      <c r="U51" s="16">
        <f>O51*T51</f>
        <v>818.48536375360175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30</v>
      </c>
      <c r="I52" s="4">
        <v>13</v>
      </c>
      <c r="J52" s="4">
        <v>58</v>
      </c>
      <c r="K52" s="4"/>
      <c r="L52" s="4"/>
      <c r="M52" s="4"/>
      <c r="N52" s="4"/>
      <c r="O52" s="4">
        <v>14211</v>
      </c>
      <c r="Q52" s="13">
        <f>O52*$Q$15</f>
        <v>780.09456378094944</v>
      </c>
      <c r="R52" s="14"/>
      <c r="S52" s="1">
        <f>H52*24+I52+J52/60+K52/3600</f>
        <v>733.9666666666667</v>
      </c>
      <c r="T52" s="15">
        <f>Q15+(Q16-Q15)*(S52-S15)/(S16-S15)</f>
        <v>5.5370301559338593E-2</v>
      </c>
      <c r="U52" s="16">
        <f>O52*T52</f>
        <v>786.8673554597608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30</v>
      </c>
      <c r="I53" s="4">
        <v>13</v>
      </c>
      <c r="J53" s="4">
        <v>57</v>
      </c>
      <c r="K53" s="4"/>
      <c r="L53" s="4"/>
      <c r="M53" s="4"/>
      <c r="N53" s="4"/>
      <c r="O53" s="4">
        <v>13034</v>
      </c>
      <c r="Q53" s="13">
        <f>O53*$Q$15</f>
        <v>715.48466288937414</v>
      </c>
      <c r="R53" s="14"/>
      <c r="S53" s="1">
        <f>H53*24+I53+J53/60+K53/3600</f>
        <v>733.95</v>
      </c>
      <c r="T53" s="15">
        <f>Q15+(Q16-Q15)*(S53-S15)/(S16-S15)</f>
        <v>5.536099320049849E-2</v>
      </c>
      <c r="U53" s="16">
        <f>O53*T53</f>
        <v>721.57518537529734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30</v>
      </c>
      <c r="I54" s="4">
        <v>13</v>
      </c>
      <c r="J54" s="4">
        <v>0</v>
      </c>
      <c r="K54" s="4">
        <v>0</v>
      </c>
      <c r="L54" s="4"/>
      <c r="M54" s="4"/>
      <c r="N54" s="4"/>
      <c r="O54" s="4">
        <v>12283</v>
      </c>
      <c r="Q54" s="13">
        <f>O54*$Q$15</f>
        <v>674.2594839857436</v>
      </c>
      <c r="R54" s="14"/>
      <c r="S54" s="1">
        <f>H54*24+I54+J54/60+K54/3600</f>
        <v>733</v>
      </c>
      <c r="T54" s="15">
        <f>Q15+(Q16-Q15)*(S54-S15)/(S16-S15)</f>
        <v>5.4830416746612293E-2</v>
      </c>
      <c r="U54" s="16">
        <f>O54*T54</f>
        <v>673.48200889863881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30</v>
      </c>
      <c r="I55" s="4">
        <v>13</v>
      </c>
      <c r="J55" s="4">
        <v>0</v>
      </c>
      <c r="K55" s="4"/>
      <c r="L55" s="4"/>
      <c r="M55" s="4"/>
      <c r="N55" s="4"/>
      <c r="O55" s="4">
        <v>12941</v>
      </c>
      <c r="Q55" s="13">
        <f>O55*$Q$15</f>
        <v>710.37954752580868</v>
      </c>
      <c r="R55" s="14"/>
      <c r="S55" s="1">
        <f>H55*24+I55+J55/60+K55/3600</f>
        <v>733</v>
      </c>
      <c r="T55" s="15">
        <f>Q15+(Q16-Q15)*(S55-S15)/(S16-S15)</f>
        <v>5.4830416746612293E-2</v>
      </c>
      <c r="U55" s="16">
        <f>O55*T55</f>
        <v>709.56042311790964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30</v>
      </c>
      <c r="I56" s="4">
        <v>13</v>
      </c>
      <c r="J56" s="4">
        <v>3</v>
      </c>
      <c r="K56" s="4"/>
      <c r="L56" s="4"/>
      <c r="M56" s="4"/>
      <c r="N56" s="4"/>
      <c r="O56" s="4">
        <v>14696</v>
      </c>
      <c r="Q56" s="13">
        <f>O56*$Q$15</f>
        <v>806.71801487051107</v>
      </c>
      <c r="R56" s="14"/>
      <c r="S56" s="1">
        <f>H56*24+I56+J56/60+K56/3600</f>
        <v>733.05</v>
      </c>
      <c r="T56" s="15">
        <f>Q15+(Q16-Q15)*(S56-S15)/(S16-S15)</f>
        <v>5.4858341823132588E-2</v>
      </c>
      <c r="U56" s="16">
        <f>O56*T56</f>
        <v>806.19819143275652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30</v>
      </c>
      <c r="I57" s="4">
        <v>14</v>
      </c>
      <c r="J57" s="4">
        <v>2</v>
      </c>
      <c r="K57" s="4"/>
      <c r="L57" s="4"/>
      <c r="M57" s="4"/>
      <c r="N57" s="4"/>
      <c r="O57" s="4">
        <v>13392</v>
      </c>
      <c r="Q57" s="13">
        <f>O57*$Q$15</f>
        <v>735.1366123534217</v>
      </c>
      <c r="R57" s="14"/>
      <c r="S57" s="1">
        <f>H57*24+I57+J57/60+K57/3600</f>
        <v>734.0333333333333</v>
      </c>
      <c r="T57" s="15">
        <f>Q15+(Q16-Q15)*(S57-S15)/(S16-S15)</f>
        <v>5.5407534994698991E-2</v>
      </c>
      <c r="U57" s="16">
        <f>O57*T57</f>
        <v>742.01770864900891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30</v>
      </c>
      <c r="I58" s="4">
        <v>14</v>
      </c>
      <c r="J58" s="4">
        <v>3</v>
      </c>
      <c r="K58" s="4"/>
      <c r="L58" s="4"/>
      <c r="M58" s="4"/>
      <c r="N58" s="4"/>
      <c r="O58" s="4">
        <v>16070</v>
      </c>
      <c r="Q58" s="13">
        <f>O58*$Q$15</f>
        <v>882.14197733867127</v>
      </c>
      <c r="R58" s="14"/>
      <c r="S58" s="1">
        <f>H58*24+I58+J58/60+K58/3600</f>
        <v>734.05</v>
      </c>
      <c r="T58" s="15">
        <f>Q15+(Q16-Q15)*(S58-S15)/(S16-S15)</f>
        <v>5.5416843353539094E-2</v>
      </c>
      <c r="U58" s="16">
        <f>O58*T58</f>
        <v>890.54867269137321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30</v>
      </c>
      <c r="I59" s="4">
        <v>14</v>
      </c>
      <c r="J59" s="4">
        <v>4</v>
      </c>
      <c r="K59" s="4"/>
      <c r="L59" s="4"/>
      <c r="M59" s="4"/>
      <c r="N59" s="4"/>
      <c r="O59" s="4">
        <v>14144</v>
      </c>
      <c r="Q59" s="13">
        <f>O59*$Q$15</f>
        <v>776.41668497063893</v>
      </c>
      <c r="R59" s="14"/>
      <c r="S59" s="1">
        <f>H59*24+I59+J59/60+K59/3600</f>
        <v>734.06666666666672</v>
      </c>
      <c r="T59" s="15">
        <f>Q15+(Q16-Q15)*(S59-S15)/(S16-S15)</f>
        <v>5.5426151712379253E-2</v>
      </c>
      <c r="U59" s="16">
        <f>O59*T59</f>
        <v>783.9474898198921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7</v>
      </c>
      <c r="H60" s="4">
        <v>30</v>
      </c>
      <c r="I60" s="4">
        <v>14</v>
      </c>
      <c r="J60" s="4">
        <v>5</v>
      </c>
      <c r="K60" s="4"/>
      <c r="L60" s="4"/>
      <c r="M60" s="4"/>
      <c r="N60" s="4"/>
      <c r="O60" s="4">
        <v>379130</v>
      </c>
      <c r="Q60" s="13">
        <f>O60*$Q$15</f>
        <v>20811.853632135062</v>
      </c>
      <c r="R60" s="14"/>
      <c r="S60" s="1">
        <f>H60*24+I60+J60/60+K60/3600</f>
        <v>734.08333333333337</v>
      </c>
      <c r="T60" s="15">
        <f>Q15+(Q16-Q15)*(S60-S15)/(S16-S15)</f>
        <v>5.5435460071219356E-2</v>
      </c>
      <c r="U60" s="16">
        <f>O60*T60</f>
        <v>21017.245976801394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7</v>
      </c>
      <c r="H61" s="4">
        <v>30</v>
      </c>
      <c r="I61" s="4">
        <v>14</v>
      </c>
      <c r="J61" s="4">
        <v>12</v>
      </c>
      <c r="K61" s="4"/>
      <c r="L61" s="4"/>
      <c r="M61" s="4"/>
      <c r="N61" s="4"/>
      <c r="O61" s="4">
        <v>13402</v>
      </c>
      <c r="Q61" s="13">
        <f>O61*$Q$15</f>
        <v>735.68554948928886</v>
      </c>
      <c r="R61" s="14"/>
      <c r="S61" s="1">
        <f>H61*24+I61+J61/60+K61/3600</f>
        <v>734.2</v>
      </c>
      <c r="T61" s="15">
        <f>Q15+(Q16-Q15)*(S61-S15)/(S16-S15)</f>
        <v>5.5500618583100118E-2</v>
      </c>
      <c r="U61" s="16">
        <f>O61*T61</f>
        <v>743.81929025070781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30</v>
      </c>
      <c r="I62" s="4">
        <v>14</v>
      </c>
      <c r="J62" s="4">
        <v>14</v>
      </c>
      <c r="K62" s="4"/>
      <c r="L62" s="4"/>
      <c r="M62" s="4"/>
      <c r="N62" s="4"/>
      <c r="O62" s="4">
        <v>17830</v>
      </c>
      <c r="Q62" s="13">
        <f>O62*$Q$15</f>
        <v>978.75491325130736</v>
      </c>
      <c r="R62" s="14"/>
      <c r="S62" s="1">
        <f>H62*24+I62+J62/60+K62/3600</f>
        <v>734.23333333333335</v>
      </c>
      <c r="T62" s="15">
        <f>Q15+(Q16-Q15)*(S62-S15)/(S16-S15)</f>
        <v>5.5519235300780317E-2</v>
      </c>
      <c r="U62" s="16">
        <f>O62*T62</f>
        <v>989.90796541291309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30</v>
      </c>
      <c r="I63" s="4">
        <v>14</v>
      </c>
      <c r="J63" s="4">
        <v>15</v>
      </c>
      <c r="K63" s="4"/>
      <c r="L63" s="4"/>
      <c r="M63" s="4"/>
      <c r="N63" s="4"/>
      <c r="O63" s="4">
        <v>14029</v>
      </c>
      <c r="Q63" s="13">
        <f>O63*$Q$15</f>
        <v>770.10390790816552</v>
      </c>
      <c r="R63" s="14"/>
      <c r="S63" s="1">
        <f>H63*24+I63+J63/60+K63/3600</f>
        <v>734.25</v>
      </c>
      <c r="T63" s="15">
        <f>Q15+(Q16-Q15)*(S63-S15)/(S16-S15)</f>
        <v>5.552854365962042E-2</v>
      </c>
      <c r="U63" s="16">
        <f>O63*T63</f>
        <v>779.00993900081482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30</v>
      </c>
      <c r="I64" s="4">
        <v>14</v>
      </c>
      <c r="J64" s="4">
        <v>16</v>
      </c>
      <c r="K64" s="4"/>
      <c r="L64" s="4"/>
      <c r="M64" s="4"/>
      <c r="N64" s="4"/>
      <c r="O64" s="4">
        <v>14602</v>
      </c>
      <c r="Q64" s="13">
        <f>O64*$Q$15</f>
        <v>801.55800579335892</v>
      </c>
      <c r="R64" s="14"/>
      <c r="S64" s="1">
        <f>H64*24+I64+J64/60+K64/3600</f>
        <v>734.26666666666665</v>
      </c>
      <c r="T64" s="15">
        <f>Q15+(Q16-Q15)*(S64-S15)/(S16-S15)</f>
        <v>5.5537852018460517E-2</v>
      </c>
      <c r="U64" s="16">
        <f>O64*T64</f>
        <v>810.96371517356044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30</v>
      </c>
      <c r="I65" s="4">
        <v>14</v>
      </c>
      <c r="J65" s="4">
        <v>17</v>
      </c>
      <c r="K65" s="4"/>
      <c r="L65" s="4"/>
      <c r="M65" s="4"/>
      <c r="N65" s="4"/>
      <c r="O65" s="4">
        <v>16346</v>
      </c>
      <c r="Q65" s="13">
        <f>O65*$Q$15</f>
        <v>897.29264228860734</v>
      </c>
      <c r="R65" s="14"/>
      <c r="S65" s="1">
        <f>H65*24+I65+J65/60+K65/3600</f>
        <v>734.2833333333333</v>
      </c>
      <c r="T65" s="15">
        <f>Q15+(Q16-Q15)*(S65-S15)/(S16-S15)</f>
        <v>5.554716037730062E-2</v>
      </c>
      <c r="U65" s="16">
        <f>O65*T65</f>
        <v>907.97388352735595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30</v>
      </c>
      <c r="I66" s="4">
        <v>14</v>
      </c>
      <c r="J66" s="4">
        <v>17</v>
      </c>
      <c r="K66" s="4"/>
      <c r="L66" s="4"/>
      <c r="M66" s="4"/>
      <c r="N66" s="4"/>
      <c r="O66" s="4">
        <v>16422</v>
      </c>
      <c r="Q66" s="13">
        <f>O66*$Q$15</f>
        <v>901.46456452119855</v>
      </c>
      <c r="R66" s="14"/>
      <c r="S66" s="1">
        <f>H66*24+I66+J66/60+K66/3600</f>
        <v>734.2833333333333</v>
      </c>
      <c r="T66" s="15">
        <f>Q15+(Q16-Q15)*(S66-S15)/(S16-S15)</f>
        <v>5.554716037730062E-2</v>
      </c>
      <c r="U66" s="16">
        <f>O66*T66</f>
        <v>912.19546771603075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30</v>
      </c>
      <c r="I67" s="4">
        <v>14</v>
      </c>
      <c r="J67" s="4">
        <v>18</v>
      </c>
      <c r="K67" s="4"/>
      <c r="L67" s="4"/>
      <c r="M67" s="4"/>
      <c r="N67" s="4"/>
      <c r="O67" s="4">
        <v>14586</v>
      </c>
      <c r="Q67" s="13">
        <f>O67*$Q$15</f>
        <v>800.67970637597136</v>
      </c>
      <c r="R67" s="14"/>
      <c r="S67" s="1">
        <f>H67*24+I67+J67/60+K67/3600</f>
        <v>734.3</v>
      </c>
      <c r="T67" s="15">
        <f>Q15+(Q16-Q15)*(S67-S15)/(S16-S15)</f>
        <v>5.5556468736140716E-2</v>
      </c>
      <c r="U67" s="16">
        <f>O67*T67</f>
        <v>810.34665298534844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30</v>
      </c>
      <c r="I68" s="4">
        <v>14</v>
      </c>
      <c r="J68" s="4">
        <v>19</v>
      </c>
      <c r="K68" s="4"/>
      <c r="L68" s="4"/>
      <c r="M68" s="4"/>
      <c r="N68" s="4"/>
      <c r="O68" s="4">
        <v>14725</v>
      </c>
      <c r="Q68" s="13">
        <f>O68*$Q$15</f>
        <v>808.30993256452609</v>
      </c>
      <c r="R68" s="14"/>
      <c r="S68" s="1">
        <f>H68*24+I68+J68/60+K68/3600</f>
        <v>734.31666666666672</v>
      </c>
      <c r="T68" s="15">
        <f>Q15+(Q16-Q15)*(S68-S15)/(S16-S15)</f>
        <v>5.5565777094980881E-2</v>
      </c>
      <c r="U68" s="16">
        <f>O68*T68</f>
        <v>818.20606772359349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30</v>
      </c>
      <c r="I69" s="4">
        <v>14</v>
      </c>
      <c r="J69" s="4">
        <v>20</v>
      </c>
      <c r="K69" s="4"/>
      <c r="L69" s="4"/>
      <c r="M69" s="4"/>
      <c r="N69" s="4"/>
      <c r="O69" s="4">
        <v>15381</v>
      </c>
      <c r="Q69" s="13">
        <f>O69*$Q$15</f>
        <v>844.32020867741778</v>
      </c>
      <c r="R69" s="14"/>
      <c r="S69" s="1">
        <f>H69*24+I69+J69/60+K69/3600</f>
        <v>734.33333333333337</v>
      </c>
      <c r="T69" s="15">
        <f>Q15+(Q16-Q15)*(S69-S15)/(S16-S15)</f>
        <v>5.5575085453820977E-2</v>
      </c>
      <c r="U69" s="16">
        <f>O69*T69</f>
        <v>854.80038936522044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30</v>
      </c>
      <c r="I70" s="4">
        <v>14</v>
      </c>
      <c r="J70" s="4">
        <v>21</v>
      </c>
      <c r="K70" s="4"/>
      <c r="L70" s="4"/>
      <c r="M70" s="4"/>
      <c r="N70" s="4"/>
      <c r="O70" s="4">
        <v>14312</v>
      </c>
      <c r="Q70" s="13">
        <f>O70*$Q$15</f>
        <v>785.63882885320868</v>
      </c>
      <c r="R70" s="14"/>
      <c r="S70" s="1">
        <f>H70*24+I70+J70/60+K70/3600</f>
        <v>734.35</v>
      </c>
      <c r="T70" s="15">
        <f>Q15+(Q16-Q15)*(S70-S15)/(S16-S15)</f>
        <v>5.558439381266108E-2</v>
      </c>
      <c r="U70" s="16">
        <f>O70*T70</f>
        <v>795.52384424680542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30</v>
      </c>
      <c r="I71" s="4">
        <v>14</v>
      </c>
      <c r="J71" s="4">
        <v>22</v>
      </c>
      <c r="K71" s="4"/>
      <c r="L71" s="4"/>
      <c r="M71" s="4"/>
      <c r="N71" s="4"/>
      <c r="O71" s="4">
        <v>17770</v>
      </c>
      <c r="Q71" s="13">
        <f>O71*$Q$15</f>
        <v>975.46129043610381</v>
      </c>
      <c r="R71" s="14"/>
      <c r="S71" s="1">
        <f>H71*24+I71+J71/60+K71/3600</f>
        <v>734.36666666666667</v>
      </c>
      <c r="T71" s="15">
        <f>Q15+(Q16-Q15)*(S71-S15)/(S16-S15)</f>
        <v>5.5593702171501183E-2</v>
      </c>
      <c r="U71" s="16">
        <f>O71*T71</f>
        <v>987.90008758757597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30</v>
      </c>
      <c r="I72" s="4">
        <v>14</v>
      </c>
      <c r="J72" s="4">
        <v>23</v>
      </c>
      <c r="K72" s="4"/>
      <c r="L72" s="4"/>
      <c r="M72" s="4"/>
      <c r="N72" s="4"/>
      <c r="O72" s="4">
        <v>13338</v>
      </c>
      <c r="Q72" s="13">
        <f>O72*$Q$15</f>
        <v>732.17235181973854</v>
      </c>
      <c r="R72" s="14"/>
      <c r="S72" s="1">
        <f>H72*24+I72+J72/60+K72/3600</f>
        <v>734.38333333333333</v>
      </c>
      <c r="T72" s="15">
        <f>Q15+(Q16-Q15)*(S72-S15)/(S16-S15)</f>
        <v>5.5603010530341279E-2</v>
      </c>
      <c r="U72" s="16">
        <f>O72*T72</f>
        <v>741.63295445369204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30</v>
      </c>
      <c r="I73" s="4">
        <v>14</v>
      </c>
      <c r="J73" s="29">
        <v>24</v>
      </c>
      <c r="K73" s="29"/>
      <c r="L73" s="29"/>
      <c r="M73" s="29"/>
      <c r="N73" s="29"/>
      <c r="O73" s="29">
        <v>13958</v>
      </c>
      <c r="P73" s="2"/>
      <c r="Q73" s="30">
        <f>O73*$Q$15</f>
        <v>766.20645424350801</v>
      </c>
      <c r="R73" s="31"/>
      <c r="S73" s="2">
        <f>H73*24+I73+J73/60+K73/3600</f>
        <v>734.4</v>
      </c>
      <c r="T73" s="32">
        <f>Q15+(Q16-Q15)*(S73-S15)/(S16-S15)</f>
        <v>5.5612318889181382E-2</v>
      </c>
      <c r="U73" s="33">
        <f>O73*T73</f>
        <v>776.23674705519375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>
        <v>30</v>
      </c>
      <c r="I74" s="4">
        <v>14</v>
      </c>
      <c r="J74" s="4">
        <v>24</v>
      </c>
      <c r="K74" s="4"/>
      <c r="L74" s="4"/>
      <c r="M74" s="4"/>
      <c r="N74" s="4"/>
      <c r="O74" s="4">
        <v>124304</v>
      </c>
      <c r="Q74" s="13">
        <f>O74*$Q$15</f>
        <v>6823.5081736842685</v>
      </c>
      <c r="R74" s="14"/>
      <c r="S74" s="1">
        <f>H74*24+I74+J74/60+K74/3600</f>
        <v>734.4</v>
      </c>
      <c r="T74" s="15">
        <f>Q15+(Q16-Q15)*(S74-S15)/(S16-S15)</f>
        <v>5.5612318889181382E-2</v>
      </c>
      <c r="U74" s="16">
        <f>O74*T74</f>
        <v>6912.8336872008022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30</v>
      </c>
      <c r="I75" s="4">
        <v>14</v>
      </c>
      <c r="J75" s="4">
        <v>26</v>
      </c>
      <c r="K75" s="4"/>
      <c r="L75" s="4"/>
      <c r="M75" s="4"/>
      <c r="N75" s="4"/>
      <c r="O75" s="4">
        <v>19267</v>
      </c>
      <c r="Q75" s="13">
        <f>O75*$Q$15</f>
        <v>1057.6371796754313</v>
      </c>
      <c r="R75" s="14"/>
      <c r="S75" s="1">
        <f>H75*24+I75+J75/60+K75/3600</f>
        <v>734.43333333333328</v>
      </c>
      <c r="T75" s="15">
        <f>Q15+(Q16-Q15)*(S75-S15)/(S16-S15)</f>
        <v>5.5630935606861581E-2</v>
      </c>
      <c r="U75" s="16">
        <f>O75*T75</f>
        <v>1071.8412363374021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30</v>
      </c>
      <c r="I76" s="4">
        <v>14</v>
      </c>
      <c r="J76" s="4">
        <v>27</v>
      </c>
      <c r="K76" s="4"/>
      <c r="L76" s="4"/>
      <c r="M76" s="4"/>
      <c r="N76" s="4"/>
      <c r="O76" s="4">
        <v>35730</v>
      </c>
      <c r="Q76" s="13">
        <f>O76*$Q$15</f>
        <v>1961.3523864536855</v>
      </c>
      <c r="R76" s="14"/>
      <c r="S76" s="1">
        <f>H76*24+I76+J76/60+K76/3600</f>
        <v>734.45</v>
      </c>
      <c r="T76" s="15">
        <f>Q15+(Q16-Q15)*(S76-S15)/(S16-S15)</f>
        <v>5.564024396570174E-2</v>
      </c>
      <c r="U76" s="16">
        <f>O76*T76</f>
        <v>1988.0259168945231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30</v>
      </c>
      <c r="I77" s="4">
        <v>14</v>
      </c>
      <c r="J77" s="4">
        <v>28</v>
      </c>
      <c r="K77" s="4"/>
      <c r="L77" s="4"/>
      <c r="M77" s="4"/>
      <c r="N77" s="4"/>
      <c r="O77" s="4">
        <v>51762</v>
      </c>
      <c r="Q77" s="13">
        <f>O77*$Q$15</f>
        <v>2841.4084026760611</v>
      </c>
      <c r="R77" s="14"/>
      <c r="S77" s="1">
        <f>H77*24+I77+J77/60+K77/3600</f>
        <v>734.4666666666667</v>
      </c>
      <c r="T77" s="15">
        <f>Q15+(Q16-Q15)*(S77-S15)/(S16-S15)</f>
        <v>5.5649552324541843E-2</v>
      </c>
      <c r="U77" s="16">
        <f>O77*T77</f>
        <v>2880.532127422935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30</v>
      </c>
      <c r="I78" s="4">
        <v>14</v>
      </c>
      <c r="J78" s="4">
        <v>29</v>
      </c>
      <c r="K78" s="4"/>
      <c r="L78" s="4"/>
      <c r="M78" s="4"/>
      <c r="N78" s="4"/>
      <c r="O78" s="4">
        <v>16662</v>
      </c>
      <c r="Q78" s="13">
        <f>O78*$Q$15</f>
        <v>914.63905578201252</v>
      </c>
      <c r="R78" s="14"/>
      <c r="S78" s="1">
        <f>H78*24+I78+J78/60+K78/3600</f>
        <v>734.48333333333335</v>
      </c>
      <c r="T78" s="15">
        <f>Q15+(Q16-Q15)*(S78-S15)/(S16-S15)</f>
        <v>5.5658860683381946E-2</v>
      </c>
      <c r="U78" s="16">
        <f>O78*T78</f>
        <v>927.38793670651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30</v>
      </c>
      <c r="I79" s="4">
        <v>14</v>
      </c>
      <c r="J79" s="4">
        <v>29</v>
      </c>
      <c r="K79" s="4"/>
      <c r="L79" s="4"/>
      <c r="M79" s="4"/>
      <c r="N79" s="4"/>
      <c r="O79" s="4">
        <v>41453</v>
      </c>
      <c r="Q79" s="13">
        <f>O79*$Q$15</f>
        <v>2275.5091093105129</v>
      </c>
      <c r="R79" s="14"/>
      <c r="S79" s="1">
        <f>H79*24+I79+J79/60+K79/3600</f>
        <v>734.48333333333335</v>
      </c>
      <c r="T79" s="15">
        <f>Q15+(Q16-Q15)*(S79-S15)/(S16-S15)</f>
        <v>5.5658860683381946E-2</v>
      </c>
      <c r="U79" s="16">
        <f>O79*T79</f>
        <v>2307.226751908232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30</v>
      </c>
      <c r="I80" s="4">
        <v>14</v>
      </c>
      <c r="J80" s="4">
        <v>30</v>
      </c>
      <c r="K80" s="4"/>
      <c r="L80" s="4"/>
      <c r="M80" s="4"/>
      <c r="N80" s="4"/>
      <c r="O80" s="4">
        <v>16531</v>
      </c>
      <c r="Q80" s="13">
        <f>O80*$Q$15</f>
        <v>907.44797930215157</v>
      </c>
      <c r="R80" s="14"/>
      <c r="S80" s="1">
        <f>H80*24+I80+J80/60+K80/3600</f>
        <v>734.5</v>
      </c>
      <c r="T80" s="15">
        <f>Q15+(Q16-Q15)*(S80-S15)/(S16-S15)</f>
        <v>5.5668169042222042E-2</v>
      </c>
      <c r="U80" s="16">
        <f>O80*T80</f>
        <v>920.25050243697262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30</v>
      </c>
      <c r="I81" s="4">
        <v>14</v>
      </c>
      <c r="J81" s="4">
        <v>33</v>
      </c>
      <c r="K81" s="4"/>
      <c r="L81" s="4"/>
      <c r="M81" s="4"/>
      <c r="N81" s="4"/>
      <c r="O81" s="4">
        <v>19674</v>
      </c>
      <c r="Q81" s="13">
        <f>O81*$Q$15</f>
        <v>1079.9789211052282</v>
      </c>
      <c r="R81" s="14"/>
      <c r="S81" s="1">
        <f>H81*24+I81+J81/60+K81/3600</f>
        <v>734.55</v>
      </c>
      <c r="T81" s="15">
        <f>Q15+(Q16-Q15)*(S81-S15)/(S16-S15)</f>
        <v>5.5696094118742344E-2</v>
      </c>
      <c r="U81" s="33">
        <f>O81*T81</f>
        <v>1095.7649556921369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30</v>
      </c>
      <c r="I82" s="4">
        <v>14</v>
      </c>
      <c r="J82" s="4">
        <v>32</v>
      </c>
      <c r="K82" s="4"/>
      <c r="L82" s="4"/>
      <c r="M82" s="4"/>
      <c r="N82" s="4"/>
      <c r="O82" s="4">
        <v>15654</v>
      </c>
      <c r="Q82" s="13">
        <f>O82*$Q$15</f>
        <v>859.30619248659366</v>
      </c>
      <c r="R82" s="14"/>
      <c r="S82" s="1">
        <f>H82*24+I82+J82/60+K82/3600</f>
        <v>734.5333333333333</v>
      </c>
      <c r="T82" s="15">
        <f>Q15+(Q16-Q15)*(S82-S15)/(S16-S15)</f>
        <v>5.5686785759902241E-2</v>
      </c>
      <c r="U82" s="16">
        <f>O82*T82</f>
        <v>871.72094428550963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30</v>
      </c>
      <c r="I83" s="4">
        <v>14</v>
      </c>
      <c r="J83" s="4">
        <v>33</v>
      </c>
      <c r="K83" s="4"/>
      <c r="L83" s="4"/>
      <c r="M83" s="4"/>
      <c r="N83" s="4"/>
      <c r="O83" s="4">
        <v>15462</v>
      </c>
      <c r="Q83" s="13">
        <f>O83*$Q$15</f>
        <v>848.76659947794246</v>
      </c>
      <c r="R83" s="14"/>
      <c r="S83" s="1">
        <f>H83*24+I83+J83/60+K83/3600</f>
        <v>734.55</v>
      </c>
      <c r="T83" s="15">
        <f>Q15+(Q16-Q15)*(S83-S15)/(S16-S15)</f>
        <v>5.5696094118742344E-2</v>
      </c>
      <c r="U83" s="16">
        <f>O83*T83</f>
        <v>861.17300726399412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30</v>
      </c>
      <c r="I84" s="4">
        <v>14</v>
      </c>
      <c r="J84" s="4">
        <v>34</v>
      </c>
      <c r="K84" s="4"/>
      <c r="L84" s="4"/>
      <c r="M84" s="4"/>
      <c r="N84" s="4"/>
      <c r="O84" s="4">
        <v>23149</v>
      </c>
      <c r="Q84" s="13">
        <f>O84*$Q$15</f>
        <v>1270.7345758190977</v>
      </c>
      <c r="R84" s="14"/>
      <c r="S84" s="1">
        <f>H84*24+I84+J84/60+K84/3600</f>
        <v>734.56666666666672</v>
      </c>
      <c r="T84" s="15">
        <f>Q15+(Q16-Q15)*(S84-S15)/(S16-S15)</f>
        <v>5.5705402477582502E-2</v>
      </c>
      <c r="U84" s="16">
        <f>O84*T84</f>
        <v>1289.5243619535574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30</v>
      </c>
      <c r="I85" s="4">
        <v>14</v>
      </c>
      <c r="J85" s="4">
        <v>37</v>
      </c>
      <c r="K85" s="4"/>
      <c r="L85" s="4"/>
      <c r="M85" s="4"/>
      <c r="N85" s="4"/>
      <c r="O85" s="4">
        <v>23278</v>
      </c>
      <c r="Q85" s="13">
        <f>O85*$Q$15</f>
        <v>1277.8158648717854</v>
      </c>
      <c r="R85" s="14"/>
      <c r="S85" s="1">
        <f>H85*24+I85+J85/60+K85/3600</f>
        <v>734.61666666666667</v>
      </c>
      <c r="T85" s="15">
        <f>Q$15+(Q$16-Q$15)*(S85-S$15)/(S$16-S$15)</f>
        <v>5.5733327554102804E-2</v>
      </c>
      <c r="U85" s="16">
        <f>O85*T85</f>
        <v>1297.3603988044051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30</v>
      </c>
      <c r="I86" s="4">
        <v>14</v>
      </c>
      <c r="J86" s="4">
        <v>36</v>
      </c>
      <c r="K86" s="4"/>
      <c r="L86" s="4"/>
      <c r="M86" s="4"/>
      <c r="N86" s="4"/>
      <c r="O86" s="4">
        <v>15335</v>
      </c>
      <c r="Q86" s="13">
        <f>O86*$Q$15</f>
        <v>841.7950978524284</v>
      </c>
      <c r="R86" s="14"/>
      <c r="S86" s="1">
        <f>H86*24+I86+J86/60+K86/3600</f>
        <v>734.6</v>
      </c>
      <c r="T86" s="15">
        <f>Q$15+(Q$16-Q$15)*(S86-S$15)/(S$16-S$15)</f>
        <v>5.5724019195262708E-2</v>
      </c>
      <c r="U86" s="16">
        <f>O86*T86</f>
        <v>854.52783435935362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30</v>
      </c>
      <c r="I87" s="4">
        <v>14</v>
      </c>
      <c r="J87" s="29">
        <v>38</v>
      </c>
      <c r="K87" s="29"/>
      <c r="L87" s="29"/>
      <c r="M87" s="29"/>
      <c r="N87" s="29"/>
      <c r="O87" s="29">
        <v>16102</v>
      </c>
      <c r="P87" s="2"/>
      <c r="Q87" s="30">
        <f>O87*$Q$15</f>
        <v>883.89857617344649</v>
      </c>
      <c r="R87" s="31"/>
      <c r="S87" s="2">
        <f>H87*24+I87+J87/60+K87/3600</f>
        <v>734.63333333333333</v>
      </c>
      <c r="T87" s="15">
        <f>Q$15+(Q$16-Q$15)*(S87-S$15)/(S$16-S$15)</f>
        <v>5.5742635912942907E-2</v>
      </c>
      <c r="U87" s="16">
        <f>O87*T87</f>
        <v>897.56792347020667</v>
      </c>
    </row>
    <row r="88" spans="1:21" ht="15.75">
      <c r="C88" s="18">
        <v>70</v>
      </c>
      <c r="F88" s="4">
        <v>2013</v>
      </c>
      <c r="G88" s="4">
        <v>7</v>
      </c>
      <c r="H88" s="4">
        <v>30</v>
      </c>
      <c r="I88" s="4">
        <v>14</v>
      </c>
      <c r="J88" s="1">
        <v>38</v>
      </c>
      <c r="O88" s="29">
        <v>566368</v>
      </c>
      <c r="Q88" s="34">
        <f>O88*$Q$15</f>
        <v>31090.042776686285</v>
      </c>
      <c r="S88" s="1">
        <f>H88*24+I88+J88/60+K88/3600</f>
        <v>734.63333333333333</v>
      </c>
      <c r="T88" s="15">
        <f>Q$15+(Q$16-Q$15)*(S88-S$15)/(S$16-S$15)</f>
        <v>5.5742635912942907E-2</v>
      </c>
      <c r="U88" s="16">
        <f>O88*T88</f>
        <v>31570.845216741647</v>
      </c>
    </row>
    <row r="89" spans="1:21" ht="15.75">
      <c r="C89">
        <v>71</v>
      </c>
      <c r="F89" s="4">
        <v>2013</v>
      </c>
      <c r="G89" s="4">
        <v>7</v>
      </c>
      <c r="H89" s="4">
        <v>30</v>
      </c>
      <c r="I89" s="4">
        <v>15</v>
      </c>
      <c r="J89" s="1">
        <v>40</v>
      </c>
      <c r="O89" s="1">
        <v>22752</v>
      </c>
      <c r="Q89" s="34">
        <f>O89*$Q$15</f>
        <v>1248.941771525168</v>
      </c>
      <c r="S89" s="1">
        <f>H89*24+I89+J89/60+K89/3600</f>
        <v>735.66666666666663</v>
      </c>
      <c r="T89" s="15">
        <f>Q$15+(Q$16-Q$15)*(S89-S$15)/(S$16-S$15)</f>
        <v>5.6319754161029606E-2</v>
      </c>
      <c r="U89" s="33">
        <f>O89*T89</f>
        <v>1281.3870466717456</v>
      </c>
    </row>
    <row r="90" spans="1:21">
      <c r="C90" s="18">
        <v>72</v>
      </c>
      <c r="F90" s="4">
        <v>2013</v>
      </c>
      <c r="G90" s="4">
        <v>7</v>
      </c>
      <c r="H90" s="4">
        <v>30</v>
      </c>
      <c r="I90" s="4">
        <v>15</v>
      </c>
      <c r="J90" s="1">
        <v>41</v>
      </c>
      <c r="O90" s="1">
        <v>29168</v>
      </c>
      <c r="Q90" s="34">
        <f>O90*$Q$15</f>
        <v>1601.1398378975957</v>
      </c>
      <c r="S90" s="1">
        <f>H90*24+I90+J90/60+K90/3600</f>
        <v>735.68333333333328</v>
      </c>
      <c r="T90" s="15">
        <f>Q$15+(Q$16-Q$15)*(S90-S$15)/(S$16-S$15)</f>
        <v>5.6329062519869709E-2</v>
      </c>
      <c r="U90" s="16">
        <f>O90*T90</f>
        <v>1643.0060955795598</v>
      </c>
    </row>
    <row r="91" spans="1:21">
      <c r="C91" s="18">
        <v>73</v>
      </c>
      <c r="F91" s="4">
        <v>2013</v>
      </c>
      <c r="G91" s="4">
        <v>7</v>
      </c>
      <c r="H91" s="4">
        <v>30</v>
      </c>
      <c r="I91" s="4">
        <v>15</v>
      </c>
      <c r="J91" s="1">
        <v>44</v>
      </c>
      <c r="O91" s="1">
        <v>24947</v>
      </c>
      <c r="Q91" s="34">
        <f>O91*$Q$15</f>
        <v>1369.4334728480294</v>
      </c>
      <c r="S91" s="1">
        <f>H91*24+I91+J91/60+K91/3600</f>
        <v>735.73333333333335</v>
      </c>
      <c r="T91" s="15">
        <f>Q$15+(Q$16-Q$15)*(S91-S$15)/(S$16-S$15)</f>
        <v>5.6356987596390067E-2</v>
      </c>
      <c r="U91" s="16">
        <f>O91*T91</f>
        <v>1405.9377695671431</v>
      </c>
    </row>
    <row r="92" spans="1:21">
      <c r="C92">
        <v>74</v>
      </c>
      <c r="F92" s="4">
        <v>2013</v>
      </c>
      <c r="G92" s="4">
        <v>7</v>
      </c>
      <c r="H92" s="4">
        <v>30</v>
      </c>
      <c r="I92" s="4">
        <v>15</v>
      </c>
      <c r="J92" s="1">
        <v>43</v>
      </c>
      <c r="O92" s="1">
        <v>26608</v>
      </c>
      <c r="Q92" s="34">
        <f>O92*$Q$15</f>
        <v>1460.6119311155796</v>
      </c>
      <c r="S92" s="1">
        <f>H92*24+I92+J92/60+K92/3600</f>
        <v>735.7166666666667</v>
      </c>
      <c r="T92" s="15">
        <f>Q$15+(Q$16-Q$15)*(S92-S$15)/(S$16-S$15)</f>
        <v>5.634767923754997E-2</v>
      </c>
      <c r="U92" s="16">
        <f>O92*T92</f>
        <v>1499.2990491527296</v>
      </c>
    </row>
    <row r="93" spans="1:21">
      <c r="C93" s="18">
        <v>75</v>
      </c>
      <c r="F93" s="4">
        <v>2013</v>
      </c>
      <c r="G93" s="4">
        <v>7</v>
      </c>
      <c r="H93" s="4">
        <v>30</v>
      </c>
      <c r="I93" s="4">
        <v>15</v>
      </c>
      <c r="J93" s="1">
        <v>45</v>
      </c>
      <c r="O93" s="1">
        <v>19830</v>
      </c>
      <c r="Q93" s="34">
        <f>O93*$Q$15</f>
        <v>1088.5423404247574</v>
      </c>
      <c r="S93" s="1">
        <f>H93*24+I93+J93/60+K93/3600</f>
        <v>735.75</v>
      </c>
      <c r="T93" s="15">
        <f>Q$15+(Q$16-Q$15)*(S93-S$15)/(S$16-S$15)</f>
        <v>5.636629595523017E-2</v>
      </c>
      <c r="U93" s="16">
        <f>O93*T93</f>
        <v>1117.7436487922143</v>
      </c>
    </row>
    <row r="94" spans="1:21">
      <c r="C94" s="18">
        <v>76</v>
      </c>
      <c r="F94" s="4">
        <v>2013</v>
      </c>
      <c r="G94" s="4">
        <v>7</v>
      </c>
      <c r="H94" s="4">
        <v>30</v>
      </c>
      <c r="I94" s="4">
        <v>15</v>
      </c>
      <c r="J94" s="1">
        <v>46</v>
      </c>
      <c r="O94" s="1">
        <v>32962</v>
      </c>
      <c r="Q94" s="34">
        <f>O94*$Q$15</f>
        <v>1809.4065872456306</v>
      </c>
      <c r="S94" s="1">
        <f>H94*24+I94+J94/60+K94/3600</f>
        <v>735.76666666666665</v>
      </c>
      <c r="T94" s="15">
        <f>Q$15+(Q$16-Q$15)*(S94-S$15)/(S$16-S$15)</f>
        <v>5.6375604314070273E-2</v>
      </c>
      <c r="U94" s="16">
        <f>O94*T94</f>
        <v>1858.2526694003843</v>
      </c>
    </row>
    <row r="95" spans="1:21">
      <c r="C95">
        <v>77</v>
      </c>
      <c r="F95" s="4">
        <v>2013</v>
      </c>
      <c r="G95" s="4">
        <v>7</v>
      </c>
      <c r="H95" s="4">
        <v>30</v>
      </c>
      <c r="I95" s="4">
        <v>15</v>
      </c>
      <c r="J95" s="1">
        <v>47</v>
      </c>
      <c r="O95" s="1">
        <v>14957</v>
      </c>
      <c r="Q95" s="34">
        <f>O95*$Q$15</f>
        <v>821.04527411664628</v>
      </c>
      <c r="S95" s="1">
        <f>H95*24+I95+J95/60+K95/3600</f>
        <v>735.7833333333333</v>
      </c>
      <c r="T95" s="15">
        <f>Q$15+(Q$16-Q$15)*(S95-S$15)/(S$16-S$15)</f>
        <v>5.6384912672910369E-2</v>
      </c>
      <c r="U95" s="16">
        <f>O95*T95</f>
        <v>843.34913884872037</v>
      </c>
    </row>
    <row r="96" spans="1:21">
      <c r="C96" s="18">
        <v>78</v>
      </c>
      <c r="F96" s="4">
        <v>2013</v>
      </c>
      <c r="G96" s="4">
        <v>7</v>
      </c>
      <c r="H96" s="4">
        <v>30</v>
      </c>
      <c r="I96" s="4">
        <v>15</v>
      </c>
      <c r="J96" s="1">
        <v>48</v>
      </c>
      <c r="O96" s="1">
        <v>23714</v>
      </c>
      <c r="Q96" s="34">
        <f>O96*$Q$15</f>
        <v>1301.7495239955974</v>
      </c>
      <c r="S96" s="1">
        <f>H96*24+I96+J96/60+K96/3600</f>
        <v>735.8</v>
      </c>
      <c r="T96" s="15">
        <f>Q$15+(Q$16-Q$15)*(S96-S$15)/(S$16-S$15)</f>
        <v>5.6394221031750472E-2</v>
      </c>
      <c r="U96" s="16">
        <f>O96*T96</f>
        <v>1337.3325575469307</v>
      </c>
    </row>
    <row r="97" spans="3:21" ht="15.75">
      <c r="C97" s="18">
        <v>79</v>
      </c>
      <c r="F97" s="4">
        <v>2013</v>
      </c>
      <c r="G97" s="4">
        <v>7</v>
      </c>
      <c r="H97" s="4">
        <v>30</v>
      </c>
      <c r="I97" s="4">
        <v>15</v>
      </c>
      <c r="J97" s="1">
        <v>48</v>
      </c>
      <c r="O97" s="1">
        <v>26163</v>
      </c>
      <c r="Q97" s="34">
        <f>O97*$Q$15</f>
        <v>1436.184228569487</v>
      </c>
      <c r="S97" s="1">
        <f>H97*24+I97+J97/60+K97/3600</f>
        <v>735.8</v>
      </c>
      <c r="T97" s="15">
        <f>Q$15+(Q$16-Q$15)*(S97-S$15)/(S$16-S$15)</f>
        <v>5.6394221031750472E-2</v>
      </c>
      <c r="U97" s="33">
        <f>O97*T97</f>
        <v>1475.4420048536876</v>
      </c>
    </row>
    <row r="98" spans="3:21">
      <c r="C98">
        <v>80</v>
      </c>
      <c r="F98" s="4">
        <v>2013</v>
      </c>
      <c r="G98" s="4">
        <v>7</v>
      </c>
      <c r="H98" s="4">
        <v>30</v>
      </c>
      <c r="I98" s="4">
        <v>15</v>
      </c>
      <c r="J98" s="1">
        <v>49</v>
      </c>
      <c r="O98" s="1">
        <v>17174</v>
      </c>
      <c r="Q98" s="34">
        <f>O98*$Q$15</f>
        <v>942.74463713841567</v>
      </c>
      <c r="S98" s="1">
        <f>H98*24+I98+J98/60+K98/3600</f>
        <v>735.81666666666672</v>
      </c>
      <c r="T98" s="15">
        <f>Q$15+(Q$16-Q$15)*(S98-S$15)/(S$16-S$15)</f>
        <v>5.640352939059063E-2</v>
      </c>
      <c r="U98" s="16">
        <f>O98*T98</f>
        <v>968.67421375400352</v>
      </c>
    </row>
    <row r="99" spans="3:21">
      <c r="C99" s="18">
        <v>81</v>
      </c>
      <c r="F99" s="4">
        <v>2013</v>
      </c>
      <c r="G99" s="4">
        <v>7</v>
      </c>
      <c r="H99" s="4">
        <v>30</v>
      </c>
      <c r="I99" s="4">
        <v>15</v>
      </c>
      <c r="J99" s="1">
        <v>50</v>
      </c>
      <c r="O99" s="1">
        <v>20486</v>
      </c>
      <c r="Q99" s="34">
        <f>O99*$Q$15</f>
        <v>1124.5526165376491</v>
      </c>
      <c r="S99" s="1">
        <f>H99*24+I99+J99/60+K99/3600</f>
        <v>735.83333333333337</v>
      </c>
      <c r="T99" s="15">
        <f>Q$15+(Q$16-Q$15)*(S99-S$15)/(S$16-S$15)</f>
        <v>5.6412837749430733E-2</v>
      </c>
      <c r="U99" s="16">
        <f>O99*T99</f>
        <v>1155.673394134838</v>
      </c>
    </row>
    <row r="100" spans="3:21">
      <c r="C100" s="18">
        <v>82</v>
      </c>
      <c r="F100" s="4">
        <v>2013</v>
      </c>
      <c r="G100" s="4">
        <v>7</v>
      </c>
      <c r="H100" s="4">
        <v>30</v>
      </c>
      <c r="I100" s="4">
        <v>15</v>
      </c>
      <c r="J100" s="1">
        <v>51</v>
      </c>
      <c r="O100" s="1">
        <v>19602</v>
      </c>
      <c r="Q100" s="34">
        <f>O100*$Q$15</f>
        <v>1076.026573726984</v>
      </c>
      <c r="S100" s="1">
        <f>H100*24+I100+J100/60+K100/3600</f>
        <v>735.85</v>
      </c>
      <c r="T100" s="15">
        <f>Q$15+(Q$16-Q$15)*(S100-S$15)/(S$16-S$15)</f>
        <v>5.6422146108270829E-2</v>
      </c>
      <c r="U100" s="16">
        <f>O100*T100</f>
        <v>1105.9869080143249</v>
      </c>
    </row>
    <row r="101" spans="3:21">
      <c r="C101">
        <v>83</v>
      </c>
      <c r="F101" s="4">
        <v>2013</v>
      </c>
      <c r="G101" s="4">
        <v>7</v>
      </c>
      <c r="H101" s="4">
        <v>30</v>
      </c>
      <c r="I101" s="4">
        <v>15</v>
      </c>
      <c r="J101" s="1">
        <v>52</v>
      </c>
      <c r="O101" s="1">
        <v>21853</v>
      </c>
      <c r="Q101" s="34">
        <f>O101*$Q$15</f>
        <v>1199.5923230107021</v>
      </c>
      <c r="S101" s="1">
        <f>H101*24+I101+J101/60+K101/3600</f>
        <v>735.86666666666667</v>
      </c>
      <c r="T101" s="15">
        <f>Q$15+(Q$16-Q$15)*(S101-S$15)/(S$16-S$15)</f>
        <v>5.6431454467110932E-2</v>
      </c>
      <c r="U101" s="16">
        <f>O101*T101</f>
        <v>1233.1965744697752</v>
      </c>
    </row>
    <row r="102" spans="3:21">
      <c r="C102" s="18">
        <v>84</v>
      </c>
      <c r="F102" s="4">
        <v>2013</v>
      </c>
      <c r="G102" s="4">
        <v>7</v>
      </c>
      <c r="H102" s="4">
        <v>30</v>
      </c>
      <c r="I102" s="4">
        <v>15</v>
      </c>
      <c r="J102" s="1">
        <v>53</v>
      </c>
      <c r="O102" s="1">
        <v>236845</v>
      </c>
      <c r="Q102" s="34">
        <f>O102*$Q$15</f>
        <v>13001.30159444789</v>
      </c>
      <c r="S102" s="1">
        <f>H102*24+I102+J102/60+K102/3600</f>
        <v>735.88333333333333</v>
      </c>
      <c r="T102" s="15">
        <f>Q$15+(Q$16-Q$15)*(S102-S$15)/(S$16-S$15)</f>
        <v>5.6440762825951035E-2</v>
      </c>
      <c r="U102" s="16">
        <f>O102*T102</f>
        <v>13367.712471512374</v>
      </c>
    </row>
  </sheetData>
  <conditionalFormatting sqref="N88:N65536">
    <cfRule type="cellIs" dxfId="9" priority="2" operator="greaterThan">
      <formula>300000</formula>
    </cfRule>
  </conditionalFormatting>
  <conditionalFormatting sqref="Q19:Q87">
    <cfRule type="cellIs" dxfId="8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2"/>
  <sheetViews>
    <sheetView topLeftCell="E1" zoomScaleNormal="100" workbookViewId="0">
      <selection activeCell="W13" sqref="W13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41487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32</v>
      </c>
      <c r="I2" s="4">
        <v>11</v>
      </c>
      <c r="J2" s="4">
        <v>20</v>
      </c>
      <c r="K2" s="4"/>
      <c r="L2" s="4"/>
      <c r="M2" s="4"/>
      <c r="N2" s="4"/>
      <c r="O2" s="4">
        <v>170076</v>
      </c>
      <c r="P2"/>
      <c r="Q2"/>
      <c r="R2"/>
      <c r="S2" s="1">
        <f>H2*24+I2+J2/60+K2/3600</f>
        <v>779.33333333333337</v>
      </c>
      <c r="T2"/>
      <c r="U2"/>
      <c r="X2" t="s">
        <v>94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32</v>
      </c>
      <c r="I3" s="4">
        <v>11</v>
      </c>
      <c r="J3" s="4">
        <v>21</v>
      </c>
      <c r="K3" s="4"/>
      <c r="L3" s="4"/>
      <c r="M3" s="4"/>
      <c r="N3" s="4"/>
      <c r="O3" s="4">
        <v>168517</v>
      </c>
      <c r="P3"/>
      <c r="Q3"/>
      <c r="R3"/>
      <c r="S3" s="1">
        <f>H3*24+I3+J3/60+K3/3600</f>
        <v>779.35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32</v>
      </c>
      <c r="I4" s="4">
        <v>11</v>
      </c>
      <c r="J4" s="4">
        <v>22</v>
      </c>
      <c r="K4" s="4"/>
      <c r="L4" s="4"/>
      <c r="M4" s="4"/>
      <c r="N4" s="4"/>
      <c r="O4" s="4">
        <v>175690</v>
      </c>
      <c r="P4"/>
      <c r="Q4"/>
      <c r="R4"/>
      <c r="S4" s="1">
        <f>H4*24+I4+J4/60+K4/3600</f>
        <v>779.36666666666667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32</v>
      </c>
      <c r="I5" s="4">
        <v>11</v>
      </c>
      <c r="J5" s="4">
        <v>23</v>
      </c>
      <c r="K5" s="4"/>
      <c r="L5" s="4"/>
      <c r="M5" s="4"/>
      <c r="N5" s="4"/>
      <c r="O5" s="4">
        <v>173206</v>
      </c>
      <c r="P5"/>
      <c r="Q5"/>
      <c r="R5"/>
      <c r="S5" s="1">
        <f>H5*24+I5+J5/60+K5/3600</f>
        <v>779.38333333333333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32</v>
      </c>
      <c r="I7" s="4">
        <v>12</v>
      </c>
      <c r="J7" s="4">
        <v>53</v>
      </c>
      <c r="K7" s="4"/>
      <c r="L7" s="4"/>
      <c r="M7" s="4"/>
      <c r="N7" s="4"/>
      <c r="O7" s="4">
        <v>171046</v>
      </c>
      <c r="P7"/>
      <c r="Q7"/>
      <c r="R7"/>
      <c r="S7" s="1">
        <f>H7*24+I7+J7/60+K7/3600</f>
        <v>780.88333333333333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32</v>
      </c>
      <c r="I8" s="4">
        <v>12</v>
      </c>
      <c r="J8" s="4">
        <v>54</v>
      </c>
      <c r="K8" s="4"/>
      <c r="L8" s="4"/>
      <c r="M8" s="4"/>
      <c r="N8" s="4"/>
      <c r="O8" s="4">
        <v>198926</v>
      </c>
      <c r="P8"/>
      <c r="Q8"/>
      <c r="R8"/>
      <c r="S8" s="1">
        <f>H8*24+I8+J8/60+K8/3600</f>
        <v>780.9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32</v>
      </c>
      <c r="I9" s="4">
        <v>12</v>
      </c>
      <c r="J9" s="4">
        <v>55</v>
      </c>
      <c r="K9" s="4"/>
      <c r="L9" s="4"/>
      <c r="M9" s="4"/>
      <c r="N9" s="4"/>
      <c r="O9" s="4">
        <v>188090</v>
      </c>
      <c r="P9"/>
      <c r="Q9"/>
      <c r="R9"/>
      <c r="S9" s="1">
        <f>H9*24+I9+J9/60+K9/3600</f>
        <v>780.91666666666663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32</v>
      </c>
      <c r="I10" s="4">
        <v>12</v>
      </c>
      <c r="J10" s="4">
        <v>56</v>
      </c>
      <c r="K10" s="4"/>
      <c r="L10" s="4"/>
      <c r="M10" s="4"/>
      <c r="N10" s="4"/>
      <c r="O10" s="4">
        <v>177491</v>
      </c>
      <c r="P10"/>
      <c r="Q10"/>
      <c r="R10"/>
      <c r="S10" s="1">
        <f>H10*24+I10+J10/60+K10/3600</f>
        <v>780.93333333333328</v>
      </c>
      <c r="T10"/>
      <c r="U10"/>
    </row>
    <row r="11" spans="1: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171872.25</v>
      </c>
      <c r="Q15" s="8">
        <f>F15/O15</f>
        <v>5.2637933116020767E-2</v>
      </c>
      <c r="S15" s="1">
        <f>AVERAGE(S2:S6)</f>
        <v>779.35833333333335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183888.25</v>
      </c>
      <c r="Q16" s="1">
        <f>F15/O16</f>
        <v>4.9198358242030144E-2</v>
      </c>
      <c r="S16" s="1">
        <f>AVERAGE(S7:S11)</f>
        <v>780.9083333333333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32</v>
      </c>
      <c r="I19" s="4">
        <v>11</v>
      </c>
      <c r="J19" s="4">
        <v>25</v>
      </c>
      <c r="K19" s="4"/>
      <c r="L19" s="4"/>
      <c r="M19" s="4"/>
      <c r="N19" s="4"/>
      <c r="O19" s="4">
        <v>88219</v>
      </c>
      <c r="Q19" s="13">
        <f>O19*$Q$15</f>
        <v>4643.6658215622365</v>
      </c>
      <c r="R19" s="14"/>
      <c r="S19" s="1">
        <f>H19*24+I19+J19/60+K19/3600</f>
        <v>779.41666666666663</v>
      </c>
      <c r="T19" s="15">
        <f>Q15+(Q16-Q15)*(S19-S15)/(S16-S15)</f>
        <v>5.2508486749795427E-2</v>
      </c>
      <c r="U19" s="16">
        <f>O19*T19</f>
        <v>4632.2461925802027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32</v>
      </c>
      <c r="I20" s="4">
        <v>11</v>
      </c>
      <c r="J20" s="4">
        <v>26</v>
      </c>
      <c r="K20" s="4"/>
      <c r="L20" s="4"/>
      <c r="M20" s="4"/>
      <c r="N20" s="4"/>
      <c r="O20" s="4">
        <v>51312</v>
      </c>
      <c r="Q20" s="13">
        <f>O20*$Q$15</f>
        <v>2700.9576240492574</v>
      </c>
      <c r="R20" s="14"/>
      <c r="S20" s="1">
        <f>H20*24+I20+J20/60+K20/3600</f>
        <v>779.43333333333328</v>
      </c>
      <c r="T20" s="15">
        <f>Q15+(Q16-Q15)*(S20-S15)/(S16-S15)</f>
        <v>5.2471502073731045E-2</v>
      </c>
      <c r="U20" s="16">
        <f>O20*T20</f>
        <v>2692.4177144072873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32</v>
      </c>
      <c r="I21" s="4">
        <v>11</v>
      </c>
      <c r="J21" s="4">
        <v>27</v>
      </c>
      <c r="K21" s="4"/>
      <c r="L21" s="4"/>
      <c r="M21" s="4"/>
      <c r="N21" s="4"/>
      <c r="O21" s="4">
        <v>70566</v>
      </c>
      <c r="Q21" s="13">
        <f>O21*$Q$15</f>
        <v>3714.4483882651216</v>
      </c>
      <c r="R21" s="14"/>
      <c r="S21" s="1">
        <f>H21*24+I21+J21/60+K21/3600</f>
        <v>779.45</v>
      </c>
      <c r="T21" s="15">
        <f>Q15+(Q16-Q15)*(S21-S15)/(S16-S15)</f>
        <v>5.2434517397666407E-2</v>
      </c>
      <c r="U21" s="16">
        <f>O21*T21</f>
        <v>3700.0941546837275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32</v>
      </c>
      <c r="I22" s="4">
        <v>11</v>
      </c>
      <c r="J22" s="4">
        <v>28</v>
      </c>
      <c r="K22" s="4"/>
      <c r="L22" s="4"/>
      <c r="M22" s="4"/>
      <c r="N22" s="4"/>
      <c r="O22" s="4">
        <v>54752</v>
      </c>
      <c r="Q22" s="13">
        <f>O22*$Q$15</f>
        <v>2882.0321139683692</v>
      </c>
      <c r="R22" s="14"/>
      <c r="S22" s="1">
        <f>H22*24+I22+J22/60+K22/3600</f>
        <v>779.4666666666667</v>
      </c>
      <c r="T22" s="15">
        <f>Q15+(Q16-Q15)*(S22-S15)/(S16-S15)</f>
        <v>5.2397532721602025E-2</v>
      </c>
      <c r="U22" s="16">
        <f>O22*T22</f>
        <v>2868.8697115731538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32</v>
      </c>
      <c r="I23" s="4">
        <v>11</v>
      </c>
      <c r="J23" s="4">
        <v>29</v>
      </c>
      <c r="K23" s="4"/>
      <c r="L23" s="4"/>
      <c r="M23" s="4"/>
      <c r="N23" s="4"/>
      <c r="O23" s="4">
        <v>81312</v>
      </c>
      <c r="Q23" s="13">
        <f>O23*$Q$15</f>
        <v>4280.0956175298807</v>
      </c>
      <c r="R23" s="14"/>
      <c r="S23" s="1">
        <f>H23*24+I23+J23/60+K23/3600</f>
        <v>779.48333333333335</v>
      </c>
      <c r="T23" s="15">
        <f>Q15+(Q16-Q15)*(S23-S15)/(S16-S15)</f>
        <v>5.2360548045537643E-2</v>
      </c>
      <c r="U23" s="16">
        <f>O23*T23</f>
        <v>4257.540882678757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32</v>
      </c>
      <c r="I24" s="4">
        <v>11</v>
      </c>
      <c r="J24" s="4">
        <v>29</v>
      </c>
      <c r="K24" s="4"/>
      <c r="L24" s="4"/>
      <c r="M24" s="4"/>
      <c r="N24" s="4"/>
      <c r="O24" s="4">
        <v>36870</v>
      </c>
      <c r="Q24" s="13">
        <f>O24*$Q$15</f>
        <v>1940.7605939876858</v>
      </c>
      <c r="R24" s="14"/>
      <c r="S24" s="1">
        <f>H24*24+I24+J24/60+K24/3600</f>
        <v>779.48333333333335</v>
      </c>
      <c r="T24" s="15">
        <f>Q15+(Q16-Q15)*(S24-S15)/(S16-S15)</f>
        <v>5.2360548045537643E-2</v>
      </c>
      <c r="U24" s="16">
        <f>O24*T24</f>
        <v>1930.5334064389729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32</v>
      </c>
      <c r="I25" s="4">
        <v>11</v>
      </c>
      <c r="J25" s="4">
        <v>30</v>
      </c>
      <c r="K25" s="4"/>
      <c r="L25" s="4"/>
      <c r="M25" s="4"/>
      <c r="N25" s="4"/>
      <c r="O25" s="4">
        <v>43398</v>
      </c>
      <c r="Q25" s="13">
        <f>O25*$Q$15</f>
        <v>2284.3810213690695</v>
      </c>
      <c r="R25" s="14"/>
      <c r="S25" s="1">
        <f>H25*24+I25+J25/60+K25/3600</f>
        <v>779.5</v>
      </c>
      <c r="T25" s="15">
        <f>Q15+(Q16-Q15)*(S25-S15)/(S16-S15)</f>
        <v>5.2323563369473261E-2</v>
      </c>
      <c r="U25" s="16">
        <f>O25*T25</f>
        <v>2270.7380031084008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32</v>
      </c>
      <c r="I26" s="4">
        <v>11</v>
      </c>
      <c r="J26" s="4">
        <v>31</v>
      </c>
      <c r="K26" s="4"/>
      <c r="L26" s="4"/>
      <c r="M26" s="4"/>
      <c r="N26" s="4"/>
      <c r="O26" s="4">
        <v>33571</v>
      </c>
      <c r="Q26" s="13">
        <f>O26*$Q$15</f>
        <v>1767.1080526379333</v>
      </c>
      <c r="R26" s="14"/>
      <c r="S26" s="1">
        <f>H26*24+I26+J26/60+K26/3600</f>
        <v>779.51666666666665</v>
      </c>
      <c r="T26" s="15">
        <f>Q15+(Q16-Q15)*(S26-S15)/(S16-S15)</f>
        <v>5.2286578693408879E-2</v>
      </c>
      <c r="U26" s="16">
        <f>O26*T26</f>
        <v>1755.3127333164296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32</v>
      </c>
      <c r="I27" s="4">
        <v>11</v>
      </c>
      <c r="J27" s="4">
        <v>32</v>
      </c>
      <c r="K27" s="4"/>
      <c r="L27" s="4"/>
      <c r="M27" s="4"/>
      <c r="N27" s="4"/>
      <c r="O27" s="4">
        <v>29027</v>
      </c>
      <c r="Q27" s="13">
        <f>O27*$Q$15</f>
        <v>1527.9212845587349</v>
      </c>
      <c r="R27" s="14"/>
      <c r="S27" s="1">
        <f>H27*24+I27+J27/60+K27/3600</f>
        <v>779.5333333333333</v>
      </c>
      <c r="T27" s="15">
        <f>Q15+(Q16-Q15)*(S27-S15)/(S16-S15)</f>
        <v>5.2249594017344497E-2</v>
      </c>
      <c r="U27" s="16">
        <f>O27*T27</f>
        <v>1516.6489655414587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32</v>
      </c>
      <c r="I28" s="4">
        <v>11</v>
      </c>
      <c r="J28" s="4">
        <v>33</v>
      </c>
      <c r="K28" s="4"/>
      <c r="L28" s="4"/>
      <c r="M28" s="4"/>
      <c r="N28" s="4"/>
      <c r="O28" s="4">
        <v>77226</v>
      </c>
      <c r="Q28" s="13">
        <f>O28*$Q$15</f>
        <v>4065.0170228178199</v>
      </c>
      <c r="R28" s="14"/>
      <c r="S28" s="1">
        <f>H28*24+I28+J28/60+K28/3600</f>
        <v>779.55</v>
      </c>
      <c r="T28" s="15">
        <f>Q15+(Q16-Q15)*(S28-S15)/(S16-S15)</f>
        <v>5.2212609341280115E-2</v>
      </c>
      <c r="U28" s="16">
        <f>O28*T28</f>
        <v>4032.1709689896984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32</v>
      </c>
      <c r="I29" s="4">
        <v>11</v>
      </c>
      <c r="J29" s="4">
        <v>34</v>
      </c>
      <c r="K29" s="4"/>
      <c r="L29" s="4"/>
      <c r="M29" s="4"/>
      <c r="N29" s="4"/>
      <c r="O29" s="4">
        <v>39526</v>
      </c>
      <c r="Q29" s="13">
        <f>O29*$Q$15</f>
        <v>2080.5669443438369</v>
      </c>
      <c r="R29" s="14"/>
      <c r="S29" s="1">
        <f>H29*24+I29+J29/60+K29/3600</f>
        <v>779.56666666666672</v>
      </c>
      <c r="T29" s="15">
        <f>Q15+(Q16-Q15)*(S29-S15)/(S16-S15)</f>
        <v>5.2175624665215477E-2</v>
      </c>
      <c r="U29" s="16">
        <f>O29*T29</f>
        <v>2062.293740517307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32</v>
      </c>
      <c r="I30" s="4">
        <v>11</v>
      </c>
      <c r="J30" s="4">
        <v>35</v>
      </c>
      <c r="K30" s="4"/>
      <c r="L30" s="4"/>
      <c r="M30" s="4"/>
      <c r="N30" s="4"/>
      <c r="O30" s="4">
        <v>33728</v>
      </c>
      <c r="Q30" s="13">
        <f>O30*$Q$15</f>
        <v>1775.3722081371484</v>
      </c>
      <c r="R30" s="14"/>
      <c r="S30" s="1">
        <f>H30*24+I30+J30/60+K30/3600</f>
        <v>779.58333333333337</v>
      </c>
      <c r="T30" s="15">
        <f>Q15+(Q16-Q15)*(S30-S15)/(S16-S15)</f>
        <v>5.2138639989151095E-2</v>
      </c>
      <c r="U30" s="16">
        <f>O30*T30</f>
        <v>1758.5320495540882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32</v>
      </c>
      <c r="I31" s="4">
        <v>11</v>
      </c>
      <c r="J31" s="4">
        <v>36</v>
      </c>
      <c r="K31" s="4"/>
      <c r="L31" s="4"/>
      <c r="M31" s="4"/>
      <c r="N31" s="4"/>
      <c r="O31" s="4">
        <v>39578</v>
      </c>
      <c r="Q31" s="13">
        <f>O31*$Q$15</f>
        <v>2083.3041168658701</v>
      </c>
      <c r="R31" s="14"/>
      <c r="S31" s="1">
        <f>H31*24+I31+J31/60+K31/3600</f>
        <v>779.6</v>
      </c>
      <c r="T31" s="15">
        <f>Q15+(Q16-Q15)*(S31-S15)/(S16-S15)</f>
        <v>5.2101655313086713E-2</v>
      </c>
      <c r="U31" s="16">
        <f>O31*T31</f>
        <v>2062.0793139813459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32</v>
      </c>
      <c r="I32" s="4">
        <v>11</v>
      </c>
      <c r="J32" s="4">
        <v>37</v>
      </c>
      <c r="K32" s="4"/>
      <c r="L32" s="4"/>
      <c r="M32" s="4"/>
      <c r="N32" s="4"/>
      <c r="O32" s="4">
        <v>13944</v>
      </c>
      <c r="Q32" s="13">
        <f>O32*$Q$15</f>
        <v>733.98333936979361</v>
      </c>
      <c r="R32" s="14"/>
      <c r="S32" s="1">
        <f>H32*24+I32+J32/60+K32/3600</f>
        <v>779.61666666666667</v>
      </c>
      <c r="T32" s="15">
        <f>Q15+(Q16-Q15)*(S32-S15)/(S16-S15)</f>
        <v>5.2064670637022331E-2</v>
      </c>
      <c r="U32" s="16">
        <f>O32*T32</f>
        <v>725.98976736263944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32</v>
      </c>
      <c r="I33" s="4">
        <v>11</v>
      </c>
      <c r="J33" s="4">
        <v>38</v>
      </c>
      <c r="K33" s="4"/>
      <c r="L33" s="4"/>
      <c r="M33" s="4"/>
      <c r="N33" s="4"/>
      <c r="O33" s="4">
        <v>187950</v>
      </c>
      <c r="Q33" s="13">
        <f>O33*$Q$15</f>
        <v>9893.2995291561037</v>
      </c>
      <c r="R33" s="14"/>
      <c r="S33" s="1">
        <f>H33*24+I33+J33/60+K33/3600</f>
        <v>779.63333333333333</v>
      </c>
      <c r="T33" s="15">
        <f>Q15+(Q16-Q15)*(S33-S15)/(S16-S15)</f>
        <v>5.2027685960957949E-2</v>
      </c>
      <c r="U33" s="16">
        <f>O33*T33</f>
        <v>9778.6035763620457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32</v>
      </c>
      <c r="I34" s="4">
        <v>11</v>
      </c>
      <c r="J34" s="4">
        <v>39</v>
      </c>
      <c r="K34" s="4"/>
      <c r="L34" s="4"/>
      <c r="M34" s="4"/>
      <c r="N34" s="4"/>
      <c r="O34" s="4">
        <v>272186</v>
      </c>
      <c r="Q34" s="13">
        <f>O34*$Q$15</f>
        <v>14327.308463117228</v>
      </c>
      <c r="R34" s="14"/>
      <c r="S34" s="1">
        <f>H34*24+I34+J34/60+K34/3600</f>
        <v>779.65</v>
      </c>
      <c r="T34" s="15">
        <f>Q15+(Q16-Q15)*(S34-S15)/(S16-S15)</f>
        <v>5.1990701284893567E-2</v>
      </c>
      <c r="U34" s="16">
        <f>O34*T34</f>
        <v>14151.141019930041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32</v>
      </c>
      <c r="I35" s="4">
        <v>11</v>
      </c>
      <c r="J35" s="4">
        <v>40</v>
      </c>
      <c r="K35" s="4"/>
      <c r="L35" s="4"/>
      <c r="M35" s="4"/>
      <c r="N35" s="4"/>
      <c r="O35" s="4">
        <v>171907</v>
      </c>
      <c r="Q35" s="13">
        <f>O35*$Q$15</f>
        <v>9048.8291681757819</v>
      </c>
      <c r="R35" s="14"/>
      <c r="S35" s="1">
        <f>H35*24+I35+J35/60+K35/3600</f>
        <v>779.66666666666663</v>
      </c>
      <c r="T35" s="15">
        <f>Q15+(Q16-Q15)*(S35-S15)/(S16-S15)</f>
        <v>5.1953716608829179E-2</v>
      </c>
      <c r="U35" s="16">
        <f>O35*T35</f>
        <v>8931.2075610739976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32</v>
      </c>
      <c r="I36" s="4">
        <v>11</v>
      </c>
      <c r="J36" s="6">
        <v>41</v>
      </c>
      <c r="K36" s="6"/>
      <c r="L36" s="6"/>
      <c r="M36" s="6"/>
      <c r="N36" s="6"/>
      <c r="O36" s="6">
        <v>234630</v>
      </c>
      <c r="P36" s="5"/>
      <c r="Q36" s="21">
        <f>O36*$Q$15</f>
        <v>12350.438247011953</v>
      </c>
      <c r="R36" s="22"/>
      <c r="S36" s="5">
        <f>H36*24+I36+J36/60+K36/3600</f>
        <v>779.68333333333328</v>
      </c>
      <c r="T36" s="23">
        <f>Q15+(Q16-Q15)*(S36-S15)/(S16-S15)</f>
        <v>5.1916731932764797E-2</v>
      </c>
      <c r="U36" s="24">
        <f>O36*T36</f>
        <v>12181.222813384604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32</v>
      </c>
      <c r="I37" s="4">
        <v>11</v>
      </c>
      <c r="J37" s="4">
        <v>42</v>
      </c>
      <c r="K37" s="4"/>
      <c r="L37" s="4"/>
      <c r="M37" s="4"/>
      <c r="N37" s="4"/>
      <c r="O37" s="4">
        <v>211826</v>
      </c>
      <c r="Q37" s="13">
        <f>O37*$Q$15</f>
        <v>11150.082820234215</v>
      </c>
      <c r="R37" s="14"/>
      <c r="S37" s="1">
        <f>H37*24+I37+J37/60+K37/3600</f>
        <v>779.7</v>
      </c>
      <c r="T37" s="15">
        <f>Q15+(Q16-Q15)*(S37-S15)/(S16-S15)</f>
        <v>5.1879747256700165E-2</v>
      </c>
      <c r="U37" s="16">
        <f>O37*T37</f>
        <v>10989.47934239777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32</v>
      </c>
      <c r="I38" s="4">
        <v>11</v>
      </c>
      <c r="J38" s="4">
        <v>43</v>
      </c>
      <c r="K38" s="4"/>
      <c r="L38" s="4"/>
      <c r="M38" s="4"/>
      <c r="N38" s="4"/>
      <c r="O38" s="4">
        <v>70723</v>
      </c>
      <c r="Q38" s="13">
        <f>O38*$Q$15</f>
        <v>3722.7125437643367</v>
      </c>
      <c r="R38" s="14"/>
      <c r="S38" s="1">
        <f>H38*24+I38+J38/60+K38/3600</f>
        <v>779.7166666666667</v>
      </c>
      <c r="T38" s="15">
        <f>Q15+(Q16-Q15)*(S38-S15)/(S16-S15)</f>
        <v>5.1842762580635783E-2</v>
      </c>
      <c r="U38" s="16">
        <f>O38*T38</f>
        <v>3666.4756979903045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32</v>
      </c>
      <c r="I39" s="4">
        <v>11</v>
      </c>
      <c r="J39" s="6">
        <v>43</v>
      </c>
      <c r="K39" s="6"/>
      <c r="L39" s="6"/>
      <c r="M39" s="6"/>
      <c r="N39" s="6"/>
      <c r="O39" s="6">
        <v>63488</v>
      </c>
      <c r="P39" s="5"/>
      <c r="Q39" s="21">
        <f>O39*$Q$15</f>
        <v>3341.8770976699266</v>
      </c>
      <c r="R39" s="22"/>
      <c r="S39" s="5">
        <f>H39*24+I39+J39/60+K39/3600</f>
        <v>779.7166666666667</v>
      </c>
      <c r="T39" s="23">
        <f>Q15+(Q16-Q15)*(S39-S15)/(S16-S15)</f>
        <v>5.1842762580635783E-2</v>
      </c>
      <c r="U39" s="24">
        <f>O39*T39</f>
        <v>3291.3933107194048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32</v>
      </c>
      <c r="I40" s="4">
        <v>11</v>
      </c>
      <c r="J40" s="4">
        <v>44</v>
      </c>
      <c r="K40" s="4"/>
      <c r="L40" s="4"/>
      <c r="M40" s="4"/>
      <c r="N40" s="4"/>
      <c r="O40" s="4">
        <v>64819</v>
      </c>
      <c r="Q40" s="13">
        <f>O40*$Q$15</f>
        <v>3411.93818664735</v>
      </c>
      <c r="R40" s="14"/>
      <c r="S40" s="1">
        <f>H40*24+I40+J40/60+K40/3600</f>
        <v>779.73333333333335</v>
      </c>
      <c r="T40" s="15">
        <f>Q15+(Q16-Q15)*(S40-S15)/(S16-S15)</f>
        <v>5.1805777904571401E-2</v>
      </c>
      <c r="U40" s="16">
        <f>O40*T40</f>
        <v>3357.9987179964137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32</v>
      </c>
      <c r="I41" s="4">
        <v>11</v>
      </c>
      <c r="J41" s="4">
        <v>46</v>
      </c>
      <c r="K41" s="4"/>
      <c r="L41" s="4"/>
      <c r="M41" s="4"/>
      <c r="N41" s="4"/>
      <c r="O41" s="4">
        <v>67443</v>
      </c>
      <c r="Q41" s="13">
        <f>O41*$Q$15</f>
        <v>3550.0601231437886</v>
      </c>
      <c r="R41" s="14"/>
      <c r="S41" s="1">
        <f>H41*24+I41+J41/60+K41/3600</f>
        <v>779.76666666666665</v>
      </c>
      <c r="T41" s="15">
        <f>Q15+(Q16-Q15)*(S41-S15)/(S16-S15)</f>
        <v>5.173180855244263E-2</v>
      </c>
      <c r="U41" s="16">
        <f>O41*T41</f>
        <v>3488.9483642023883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32</v>
      </c>
      <c r="I42" s="4">
        <v>11</v>
      </c>
      <c r="J42" s="4">
        <v>46</v>
      </c>
      <c r="K42" s="4"/>
      <c r="L42" s="4"/>
      <c r="M42" s="4"/>
      <c r="N42" s="4"/>
      <c r="O42" s="4">
        <v>77901</v>
      </c>
      <c r="Q42" s="13">
        <f>O42*$Q$15</f>
        <v>4100.5476276711333</v>
      </c>
      <c r="R42" s="14"/>
      <c r="S42" s="1">
        <f>H42*24+I42+J42/60+K42/3600</f>
        <v>779.76666666666665</v>
      </c>
      <c r="T42" s="15">
        <f>Q15+(Q16-Q15)*(S42-S15)/(S16-S15)</f>
        <v>5.173180855244263E-2</v>
      </c>
      <c r="U42" s="16">
        <f>O42*T42</f>
        <v>4029.9596180438334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32</v>
      </c>
      <c r="I43" s="4">
        <v>11</v>
      </c>
      <c r="J43" s="4">
        <v>48</v>
      </c>
      <c r="K43" s="4"/>
      <c r="L43" s="4"/>
      <c r="M43" s="4"/>
      <c r="N43" s="4"/>
      <c r="O43" s="4">
        <v>93277</v>
      </c>
      <c r="Q43" s="13">
        <f>O43*$Q$15</f>
        <v>4909.9084872630692</v>
      </c>
      <c r="R43" s="14"/>
      <c r="S43" s="1">
        <f>H43*24+I43+J43/60+K43/3600</f>
        <v>779.8</v>
      </c>
      <c r="T43" s="15">
        <f>Q15+(Q16-Q15)*(S43-S15)/(S16-S15)</f>
        <v>5.1657839200313867E-2</v>
      </c>
      <c r="U43" s="16">
        <f>O43*T43</f>
        <v>4818.4882670876768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32</v>
      </c>
      <c r="I44" s="4">
        <v>11</v>
      </c>
      <c r="J44" s="4">
        <v>50</v>
      </c>
      <c r="K44" s="4"/>
      <c r="L44" s="4"/>
      <c r="M44" s="4"/>
      <c r="N44" s="4"/>
      <c r="O44" s="4">
        <v>102896</v>
      </c>
      <c r="Q44" s="13">
        <f>O44*$Q$15</f>
        <v>5416.2327659060729</v>
      </c>
      <c r="R44" s="14"/>
      <c r="S44" s="1">
        <f>H44*24+I44+J44/60+K44/3600</f>
        <v>779.83333333333337</v>
      </c>
      <c r="T44" s="15">
        <f>Q15+(Q16-Q15)*(S44-S15)/(S16-S15)</f>
        <v>5.1583869848184846E-2</v>
      </c>
      <c r="U44" s="16">
        <f>O44*T44</f>
        <v>5307.7738718988276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32</v>
      </c>
      <c r="I45" s="4">
        <v>11</v>
      </c>
      <c r="J45" s="4">
        <v>49</v>
      </c>
      <c r="K45" s="4"/>
      <c r="L45" s="4"/>
      <c r="M45" s="4"/>
      <c r="N45" s="4"/>
      <c r="O45" s="4">
        <v>114557</v>
      </c>
      <c r="Q45" s="13">
        <f>O45*$Q$15</f>
        <v>6030.0437039719909</v>
      </c>
      <c r="R45" s="14"/>
      <c r="S45" s="1">
        <f>H45*24+I45+J45/60+K45/3600</f>
        <v>779.81666666666672</v>
      </c>
      <c r="T45" s="15">
        <f>Q15+(Q16-Q15)*(S45-S15)/(S16-S15)</f>
        <v>5.1620854524249235E-2</v>
      </c>
      <c r="U45" s="16">
        <f>O45*T45</f>
        <v>5913.5302317344194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32</v>
      </c>
      <c r="I46" s="4">
        <v>11</v>
      </c>
      <c r="J46" s="4">
        <v>51</v>
      </c>
      <c r="K46" s="4"/>
      <c r="L46" s="4"/>
      <c r="M46" s="4"/>
      <c r="N46" s="4"/>
      <c r="O46" s="4">
        <v>469373</v>
      </c>
      <c r="Q46" s="13">
        <f>O46*$Q$15</f>
        <v>24706.824580466015</v>
      </c>
      <c r="R46" s="14"/>
      <c r="S46" s="1">
        <f>H46*24+I46+J46/60+K46/3600</f>
        <v>779.85</v>
      </c>
      <c r="T46" s="15">
        <f>Q15+(Q16-Q15)*(S46-S15)/(S16-S15)</f>
        <v>5.1546885172120464E-2</v>
      </c>
      <c r="U46" s="16">
        <f>O46*T46</f>
        <v>24194.7161338937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32</v>
      </c>
      <c r="I47" s="4">
        <v>11</v>
      </c>
      <c r="J47" s="4">
        <v>52</v>
      </c>
      <c r="K47" s="4"/>
      <c r="L47" s="4"/>
      <c r="M47" s="4"/>
      <c r="N47" s="4"/>
      <c r="O47" s="4">
        <v>232510</v>
      </c>
      <c r="Q47" s="13">
        <f>O47*$Q$15</f>
        <v>12238.845828805988</v>
      </c>
      <c r="R47" s="14"/>
      <c r="S47" s="1">
        <f>H47*24+I47+J47/60+K47/3600</f>
        <v>779.86666666666667</v>
      </c>
      <c r="T47" s="15">
        <f>Q15+(Q16-Q15)*(S47-S15)/(S16-S15)</f>
        <v>5.1509900496056082E-2</v>
      </c>
      <c r="U47" s="16">
        <f>O47*T47</f>
        <v>11976.566964338001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32</v>
      </c>
      <c r="I48" s="4">
        <v>11</v>
      </c>
      <c r="J48" s="4">
        <v>53</v>
      </c>
      <c r="K48" s="4"/>
      <c r="L48" s="4"/>
      <c r="M48" s="4"/>
      <c r="N48" s="4"/>
      <c r="O48" s="4">
        <v>203670</v>
      </c>
      <c r="Q48" s="13">
        <f>O48*$Q$15</f>
        <v>10720.76783773995</v>
      </c>
      <c r="R48" s="14"/>
      <c r="S48" s="1">
        <f>H48*24+I48+J48/60+K48/3600</f>
        <v>779.88333333333333</v>
      </c>
      <c r="T48" s="15">
        <f>Q15+(Q16-Q15)*(S48-S15)/(S16-S15)</f>
        <v>5.1472915819991701E-2</v>
      </c>
      <c r="U48" s="16">
        <f>O48*T48</f>
        <v>10483.488765057709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32</v>
      </c>
      <c r="I49" s="4">
        <v>11</v>
      </c>
      <c r="J49" s="4">
        <v>54</v>
      </c>
      <c r="K49" s="4"/>
      <c r="L49" s="4"/>
      <c r="M49" s="4"/>
      <c r="N49" s="4"/>
      <c r="O49" s="4">
        <v>177498</v>
      </c>
      <c r="Q49" s="13">
        <f>O49*$Q$15</f>
        <v>9343.1278522274533</v>
      </c>
      <c r="R49" s="14"/>
      <c r="S49" s="1">
        <f>H49*24+I49+J49/60+K49/3600</f>
        <v>779.9</v>
      </c>
      <c r="T49" s="15">
        <f>Q15+(Q16-Q15)*(S49-S15)/(S16-S15)</f>
        <v>5.1435931143927319E-2</v>
      </c>
      <c r="U49" s="16">
        <f>O49*T49</f>
        <v>9129.7749061848117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32</v>
      </c>
      <c r="I50" s="4">
        <v>11</v>
      </c>
      <c r="J50" s="4">
        <v>55</v>
      </c>
      <c r="K50" s="4"/>
      <c r="L50" s="4"/>
      <c r="M50" s="4"/>
      <c r="N50" s="4"/>
      <c r="O50" s="4">
        <v>201123</v>
      </c>
      <c r="Q50" s="13">
        <f>O50*$Q$15</f>
        <v>10586.699022093444</v>
      </c>
      <c r="R50" s="14"/>
      <c r="S50" s="1">
        <f>H50*24+I50+J50/60+K50/3600</f>
        <v>779.91666666666663</v>
      </c>
      <c r="T50" s="15">
        <f>Q15+(Q16-Q15)*(S50-S15)/(S16-S15)</f>
        <v>5.1398946467862937E-2</v>
      </c>
      <c r="U50" s="16">
        <f>O50*T50</f>
        <v>10337.510310455997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32</v>
      </c>
      <c r="I51" s="4">
        <v>11</v>
      </c>
      <c r="J51" s="4">
        <v>56</v>
      </c>
      <c r="K51" s="4"/>
      <c r="L51" s="4"/>
      <c r="M51" s="4"/>
      <c r="N51" s="4"/>
      <c r="O51" s="4">
        <v>185586</v>
      </c>
      <c r="Q51" s="13">
        <f>O51*$Q$15</f>
        <v>9768.8634552698295</v>
      </c>
      <c r="R51" s="14"/>
      <c r="S51" s="1">
        <f>H51*24+I51+J51/60+K51/3600</f>
        <v>779.93333333333328</v>
      </c>
      <c r="T51" s="15">
        <f>Q15+(Q16-Q15)*(S51-S15)/(S16-S15)</f>
        <v>5.1361961791798555E-2</v>
      </c>
      <c r="U51" s="16">
        <f>O51*T51</f>
        <v>9532.0610410927275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32</v>
      </c>
      <c r="I52" s="4">
        <v>11</v>
      </c>
      <c r="J52" s="4">
        <v>58</v>
      </c>
      <c r="K52" s="4"/>
      <c r="L52" s="4"/>
      <c r="M52" s="4"/>
      <c r="N52" s="4"/>
      <c r="O52" s="4">
        <v>60179</v>
      </c>
      <c r="Q52" s="13">
        <f>O52*$Q$15</f>
        <v>3167.698176989014</v>
      </c>
      <c r="R52" s="14"/>
      <c r="S52" s="1">
        <f>H52*24+I52+J52/60+K52/3600</f>
        <v>779.9666666666667</v>
      </c>
      <c r="T52" s="15">
        <f>Q15+(Q16-Q15)*(S52-S15)/(S16-S15)</f>
        <v>5.1287992439669534E-2</v>
      </c>
      <c r="U52" s="16">
        <f>O52*T52</f>
        <v>3086.460097026873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32</v>
      </c>
      <c r="I53" s="4">
        <v>11</v>
      </c>
      <c r="J53" s="4">
        <v>57</v>
      </c>
      <c r="K53" s="4"/>
      <c r="L53" s="4"/>
      <c r="M53" s="4"/>
      <c r="N53" s="4"/>
      <c r="O53" s="4">
        <v>68421</v>
      </c>
      <c r="Q53" s="13">
        <f>O53*$Q$15</f>
        <v>3601.5400217312567</v>
      </c>
      <c r="R53" s="14"/>
      <c r="S53" s="1">
        <f>H53*24+I53+J53/60+K53/3600</f>
        <v>779.95</v>
      </c>
      <c r="T53" s="15">
        <f>Q15+(Q16-Q15)*(S53-S15)/(S16-S15)</f>
        <v>5.1324977115733916E-2</v>
      </c>
      <c r="U53" s="16">
        <f>O53*T53</f>
        <v>3511.7062592356301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32</v>
      </c>
      <c r="I54" s="4">
        <v>12</v>
      </c>
      <c r="J54" s="4">
        <v>0</v>
      </c>
      <c r="K54" s="4">
        <v>0</v>
      </c>
      <c r="L54" s="4"/>
      <c r="M54" s="4"/>
      <c r="N54" s="4"/>
      <c r="O54" s="4">
        <v>63354</v>
      </c>
      <c r="Q54" s="13">
        <f>O54*$Q$15</f>
        <v>3334.8236146323798</v>
      </c>
      <c r="R54" s="14"/>
      <c r="S54" s="1">
        <f>H54*24+I54+J54/60+K54/3600</f>
        <v>780</v>
      </c>
      <c r="T54" s="15">
        <f>Q15+(Q16-Q15)*(S54-S15)/(S16-S15)</f>
        <v>5.1214023087540771E-2</v>
      </c>
      <c r="U54" s="16">
        <f>O54*T54</f>
        <v>3244.6132186880582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32</v>
      </c>
      <c r="I55" s="4">
        <v>12</v>
      </c>
      <c r="J55" s="4">
        <v>0</v>
      </c>
      <c r="K55" s="4"/>
      <c r="L55" s="4"/>
      <c r="M55" s="4"/>
      <c r="N55" s="4"/>
      <c r="O55" s="4">
        <v>61786</v>
      </c>
      <c r="Q55" s="13">
        <f>O55*$Q$15</f>
        <v>3252.2873355064589</v>
      </c>
      <c r="R55" s="14"/>
      <c r="S55" s="1">
        <f>H55*24+I55+J55/60+K55/3600</f>
        <v>780</v>
      </c>
      <c r="T55" s="15">
        <f>Q15+(Q16-Q15)*(S55-S15)/(S16-S15)</f>
        <v>5.1214023087540771E-2</v>
      </c>
      <c r="U55" s="16">
        <f>O55*T55</f>
        <v>3164.309630486794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32</v>
      </c>
      <c r="I56" s="4">
        <v>12</v>
      </c>
      <c r="J56" s="4">
        <v>3</v>
      </c>
      <c r="K56" s="4"/>
      <c r="L56" s="4"/>
      <c r="M56" s="4"/>
      <c r="N56" s="4"/>
      <c r="O56" s="4">
        <v>64189</v>
      </c>
      <c r="Q56" s="13">
        <f>O56*$Q$15</f>
        <v>3378.7762887842568</v>
      </c>
      <c r="R56" s="14"/>
      <c r="S56" s="1">
        <f>H56*24+I56+J56/60+K56/3600</f>
        <v>780.05</v>
      </c>
      <c r="T56" s="15">
        <f>Q15+(Q16-Q15)*(S56-S15)/(S16-S15)</f>
        <v>5.1103069059347618E-2</v>
      </c>
      <c r="U56" s="16">
        <f>O56*T56</f>
        <v>3280.2548998504644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32</v>
      </c>
      <c r="I57" s="4">
        <v>12</v>
      </c>
      <c r="J57" s="4">
        <v>2</v>
      </c>
      <c r="K57" s="4"/>
      <c r="L57" s="4"/>
      <c r="M57" s="4"/>
      <c r="N57" s="4"/>
      <c r="O57" s="4">
        <v>108496</v>
      </c>
      <c r="Q57" s="13">
        <f>O57*$Q$15</f>
        <v>5711.0051913557891</v>
      </c>
      <c r="R57" s="14"/>
      <c r="S57" s="1">
        <f>H57*24+I57+J57/60+K57/3600</f>
        <v>780.0333333333333</v>
      </c>
      <c r="T57" s="15">
        <f>Q15+(Q16-Q15)*(S57-S15)/(S16-S15)</f>
        <v>5.1140053735412007E-2</v>
      </c>
      <c r="U57" s="16">
        <f>O57*T57</f>
        <v>5548.4912700772611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32</v>
      </c>
      <c r="I58" s="4">
        <v>12</v>
      </c>
      <c r="J58" s="4">
        <v>3</v>
      </c>
      <c r="K58" s="4"/>
      <c r="L58" s="4"/>
      <c r="M58" s="4"/>
      <c r="N58" s="4"/>
      <c r="O58" s="4">
        <v>128026</v>
      </c>
      <c r="Q58" s="13">
        <f>O58*$Q$15</f>
        <v>6739.0240251116747</v>
      </c>
      <c r="R58" s="14"/>
      <c r="S58" s="1">
        <f>H58*24+I58+J58/60+K58/3600</f>
        <v>780.05</v>
      </c>
      <c r="T58" s="15">
        <f>Q15+(Q16-Q15)*(S58-S15)/(S16-S15)</f>
        <v>5.1103069059347618E-2</v>
      </c>
      <c r="U58" s="16">
        <f>O58*T58</f>
        <v>6542.5215193920385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32</v>
      </c>
      <c r="I59" s="4">
        <v>12</v>
      </c>
      <c r="J59" s="4">
        <v>4</v>
      </c>
      <c r="K59" s="4"/>
      <c r="L59" s="4"/>
      <c r="M59" s="4"/>
      <c r="N59" s="4"/>
      <c r="O59" s="4">
        <v>98301</v>
      </c>
      <c r="Q59" s="13">
        <f>O59*$Q$15</f>
        <v>5174.3614632379577</v>
      </c>
      <c r="R59" s="14"/>
      <c r="S59" s="1">
        <f>H59*24+I59+J59/60+K59/3600</f>
        <v>780.06666666666672</v>
      </c>
      <c r="T59" s="15">
        <f>Q15+(Q16-Q15)*(S59-S15)/(S16-S15)</f>
        <v>5.1066084383282986E-2</v>
      </c>
      <c r="U59" s="16">
        <f>O59*T59</f>
        <v>5019.8471609611006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32</v>
      </c>
      <c r="I60" s="4">
        <v>12</v>
      </c>
      <c r="J60" s="4">
        <v>5</v>
      </c>
      <c r="K60" s="4"/>
      <c r="L60" s="4"/>
      <c r="M60" s="4"/>
      <c r="N60" s="4"/>
      <c r="O60" s="4">
        <v>562970</v>
      </c>
      <c r="Q60" s="13">
        <f>O60*$Q$15</f>
        <v>29633.577206326212</v>
      </c>
      <c r="R60" s="14"/>
      <c r="S60" s="1">
        <f>H60*24+I60+J60/60+K60/3600</f>
        <v>780.08333333333337</v>
      </c>
      <c r="T60" s="15">
        <f>Q15+(Q16-Q15)*(S60-S15)/(S16-S15)</f>
        <v>5.1029099707218604E-2</v>
      </c>
      <c r="U60" s="16">
        <f>O60*T60</f>
        <v>28727.852262172859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32</v>
      </c>
      <c r="I61" s="4">
        <v>12</v>
      </c>
      <c r="J61" s="4">
        <v>12</v>
      </c>
      <c r="K61" s="4"/>
      <c r="L61" s="4"/>
      <c r="M61" s="4"/>
      <c r="N61" s="4"/>
      <c r="O61" s="4">
        <v>49539</v>
      </c>
      <c r="Q61" s="13">
        <f>O61*$Q$15</f>
        <v>2607.6305686345527</v>
      </c>
      <c r="R61" s="14"/>
      <c r="S61" s="1">
        <f>H61*24+I61+J61/60+K61/3600</f>
        <v>780.2</v>
      </c>
      <c r="T61" s="15">
        <f>Q15+(Q16-Q15)*(S61-S15)/(S16-S15)</f>
        <v>5.0770206974767675E-2</v>
      </c>
      <c r="U61" s="16">
        <f>O61*T61</f>
        <v>2515.105283323016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32</v>
      </c>
      <c r="I62" s="4">
        <v>12</v>
      </c>
      <c r="J62" s="4">
        <v>14</v>
      </c>
      <c r="K62" s="4"/>
      <c r="L62" s="4"/>
      <c r="M62" s="4"/>
      <c r="N62" s="4"/>
      <c r="O62" s="4">
        <v>99667</v>
      </c>
      <c r="Q62" s="13">
        <f>O62*$Q$15</f>
        <v>5246.2648798744422</v>
      </c>
      <c r="R62" s="14"/>
      <c r="S62" s="1">
        <f>H62*24+I62+J62/60+K62/3600</f>
        <v>780.23333333333335</v>
      </c>
      <c r="T62" s="15">
        <f>Q15+(Q16-Q15)*(S62-S15)/(S16-S15)</f>
        <v>5.0696237622638904E-2</v>
      </c>
      <c r="U62" s="16">
        <f>O62*T62</f>
        <v>5052.7419151355516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32</v>
      </c>
      <c r="I63" s="4">
        <v>12</v>
      </c>
      <c r="J63" s="4">
        <v>15</v>
      </c>
      <c r="K63" s="4"/>
      <c r="L63" s="4"/>
      <c r="M63" s="4"/>
      <c r="N63" s="4"/>
      <c r="O63" s="4">
        <v>52210</v>
      </c>
      <c r="Q63" s="13">
        <f>O63*$Q$15</f>
        <v>2748.2264879874442</v>
      </c>
      <c r="R63" s="14"/>
      <c r="S63" s="1">
        <f>H63*24+I63+J63/60+K63/3600</f>
        <v>780.25</v>
      </c>
      <c r="T63" s="15">
        <f>Q15+(Q16-Q15)*(S63-S15)/(S16-S15)</f>
        <v>5.0659252946574522E-2</v>
      </c>
      <c r="U63" s="16">
        <f>O63*T63</f>
        <v>2644.919596340656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32</v>
      </c>
      <c r="I64" s="4">
        <v>12</v>
      </c>
      <c r="J64" s="4">
        <v>16</v>
      </c>
      <c r="K64" s="4"/>
      <c r="L64" s="4"/>
      <c r="M64" s="4"/>
      <c r="N64" s="4"/>
      <c r="O64" s="4">
        <v>53034</v>
      </c>
      <c r="Q64" s="13">
        <f>O64*$Q$15</f>
        <v>2791.6001448750453</v>
      </c>
      <c r="R64" s="14"/>
      <c r="S64" s="1">
        <f>H64*24+I64+J64/60+K64/3600</f>
        <v>780.26666666666665</v>
      </c>
      <c r="T64" s="15">
        <f>Q15+(Q16-Q15)*(S64-S15)/(S16-S15)</f>
        <v>5.062226827051014E-2</v>
      </c>
      <c r="U64" s="16">
        <f>O64*T64</f>
        <v>2684.7013754582349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32</v>
      </c>
      <c r="I65" s="4">
        <v>12</v>
      </c>
      <c r="J65" s="4">
        <v>17</v>
      </c>
      <c r="K65" s="4"/>
      <c r="L65" s="4"/>
      <c r="M65" s="4"/>
      <c r="N65" s="4"/>
      <c r="O65" s="4">
        <v>72752</v>
      </c>
      <c r="Q65" s="13">
        <f>O65*$Q$15</f>
        <v>3829.5149100567428</v>
      </c>
      <c r="R65" s="14"/>
      <c r="S65" s="1">
        <f>H65*24+I65+J65/60+K65/3600</f>
        <v>780.2833333333333</v>
      </c>
      <c r="T65" s="15">
        <f>Q15+(Q16-Q15)*(S65-S15)/(S16-S15)</f>
        <v>5.0585283594445758E-2</v>
      </c>
      <c r="U65" s="16">
        <f>O65*T65</f>
        <v>3680.1805520631178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32</v>
      </c>
      <c r="I66" s="4">
        <v>12</v>
      </c>
      <c r="J66" s="4">
        <v>17</v>
      </c>
      <c r="K66" s="4"/>
      <c r="L66" s="4"/>
      <c r="M66" s="4"/>
      <c r="N66" s="4"/>
      <c r="O66" s="4">
        <v>43072</v>
      </c>
      <c r="Q66" s="13">
        <f>O66*$Q$15</f>
        <v>2267.2210551732464</v>
      </c>
      <c r="R66" s="14"/>
      <c r="S66" s="1">
        <f>H66*24+I66+J66/60+K66/3600</f>
        <v>780.2833333333333</v>
      </c>
      <c r="T66" s="15">
        <f>Q15+(Q16-Q15)*(S66-S15)/(S16-S15)</f>
        <v>5.0585283594445758E-2</v>
      </c>
      <c r="U66" s="16">
        <f>O66*T66</f>
        <v>2178.8093349799678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32</v>
      </c>
      <c r="I67" s="4">
        <v>12</v>
      </c>
      <c r="J67" s="4">
        <v>18</v>
      </c>
      <c r="K67" s="4"/>
      <c r="L67" s="4"/>
      <c r="M67" s="4"/>
      <c r="N67" s="4"/>
      <c r="O67" s="4">
        <v>29898</v>
      </c>
      <c r="Q67" s="13">
        <f>O67*$Q$15</f>
        <v>1573.7689243027889</v>
      </c>
      <c r="R67" s="14"/>
      <c r="S67" s="1">
        <f>H67*24+I67+J67/60+K67/3600</f>
        <v>780.3</v>
      </c>
      <c r="T67" s="15">
        <f>Q15+(Q16-Q15)*(S67-S15)/(S16-S15)</f>
        <v>5.0548298918381376E-2</v>
      </c>
      <c r="U67" s="16">
        <f>O67*T67</f>
        <v>1511.2930410617664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32</v>
      </c>
      <c r="I68" s="4">
        <v>12</v>
      </c>
      <c r="J68" s="4">
        <v>19</v>
      </c>
      <c r="K68" s="4"/>
      <c r="L68" s="4"/>
      <c r="M68" s="4"/>
      <c r="N68" s="4"/>
      <c r="O68" s="4">
        <v>38621</v>
      </c>
      <c r="Q68" s="13">
        <f>O68*$Q$15</f>
        <v>2032.9296148738381</v>
      </c>
      <c r="R68" s="14"/>
      <c r="S68" s="1">
        <f>H68*24+I68+J68/60+K68/3600</f>
        <v>780.31666666666672</v>
      </c>
      <c r="T68" s="15">
        <f>Q15+(Q16-Q15)*(S68-S15)/(S16-S15)</f>
        <v>5.0511314242316738E-2</v>
      </c>
      <c r="U68" s="16">
        <f>O68*T68</f>
        <v>1950.7974673525148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32</v>
      </c>
      <c r="I69" s="4">
        <v>12</v>
      </c>
      <c r="J69" s="4">
        <v>20</v>
      </c>
      <c r="K69" s="4"/>
      <c r="L69" s="4"/>
      <c r="M69" s="4"/>
      <c r="N69" s="4"/>
      <c r="O69" s="4">
        <v>32965</v>
      </c>
      <c r="Q69" s="13">
        <f>O69*$Q$15</f>
        <v>1735.2094651696245</v>
      </c>
      <c r="R69" s="14"/>
      <c r="S69" s="1">
        <f>H69*24+I69+J69/60+K69/3600</f>
        <v>780.33333333333337</v>
      </c>
      <c r="T69" s="15">
        <f>Q15+(Q16-Q15)*(S69-S15)/(S16-S15)</f>
        <v>5.0474329566252356E-2</v>
      </c>
      <c r="U69" s="16">
        <f>O69*T69</f>
        <v>1663.8862741515088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32</v>
      </c>
      <c r="I70" s="4">
        <v>12</v>
      </c>
      <c r="J70" s="4">
        <v>21</v>
      </c>
      <c r="K70" s="4"/>
      <c r="L70" s="4"/>
      <c r="M70" s="4"/>
      <c r="N70" s="4"/>
      <c r="O70" s="4">
        <v>29018</v>
      </c>
      <c r="Q70" s="13">
        <f>O70*$Q$15</f>
        <v>1527.4475431606907</v>
      </c>
      <c r="R70" s="14"/>
      <c r="S70" s="1">
        <f>H70*24+I70+J70/60+K70/3600</f>
        <v>780.35</v>
      </c>
      <c r="T70" s="15">
        <f>Q15+(Q16-Q15)*(S70-S15)/(S16-S15)</f>
        <v>5.0437344890187974E-2</v>
      </c>
      <c r="U70" s="16">
        <f>O70*T70</f>
        <v>1463.5908740234747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32</v>
      </c>
      <c r="I71" s="4">
        <v>12</v>
      </c>
      <c r="J71" s="4">
        <v>22</v>
      </c>
      <c r="K71" s="4"/>
      <c r="L71" s="4"/>
      <c r="M71" s="4"/>
      <c r="N71" s="4"/>
      <c r="O71" s="4">
        <v>76218</v>
      </c>
      <c r="Q71" s="13">
        <f>O71*$Q$15</f>
        <v>4011.957986236871</v>
      </c>
      <c r="R71" s="14"/>
      <c r="S71" s="1">
        <f>H71*24+I71+J71/60+K71/3600</f>
        <v>780.36666666666667</v>
      </c>
      <c r="T71" s="15">
        <f>Q15+(Q16-Q15)*(S71-S15)/(S16-S15)</f>
        <v>5.0400360214123592E-2</v>
      </c>
      <c r="U71" s="16">
        <f>O71*T71</f>
        <v>3841.4146548000717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32</v>
      </c>
      <c r="I72" s="4">
        <v>12</v>
      </c>
      <c r="J72" s="4">
        <v>23</v>
      </c>
      <c r="K72" s="4"/>
      <c r="L72" s="4"/>
      <c r="M72" s="4"/>
      <c r="N72" s="4"/>
      <c r="O72" s="4">
        <v>50165</v>
      </c>
      <c r="Q72" s="13">
        <f>O72*$Q$15</f>
        <v>2640.5819147651819</v>
      </c>
      <c r="R72" s="14"/>
      <c r="S72" s="1">
        <f>H72*24+I72+J72/60+K72/3600</f>
        <v>780.38333333333333</v>
      </c>
      <c r="T72" s="15">
        <f>Q15+(Q16-Q15)*(S72-S15)/(S16-S15)</f>
        <v>5.036337553805921E-2</v>
      </c>
      <c r="U72" s="16">
        <f>O72*T72</f>
        <v>2526.4787338667402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32</v>
      </c>
      <c r="I73" s="4">
        <v>12</v>
      </c>
      <c r="J73" s="29">
        <v>24</v>
      </c>
      <c r="K73" s="29"/>
      <c r="L73" s="29"/>
      <c r="M73" s="29"/>
      <c r="N73" s="29"/>
      <c r="O73" s="29">
        <v>52331</v>
      </c>
      <c r="P73" s="2"/>
      <c r="Q73" s="30">
        <f>O73*$Q$15</f>
        <v>2754.5956778944828</v>
      </c>
      <c r="R73" s="31"/>
      <c r="S73" s="2">
        <f>H73*24+I73+J73/60+K73/3600</f>
        <v>780.4</v>
      </c>
      <c r="T73" s="32">
        <f>Q15+(Q16-Q15)*(S73-S15)/(S16-S15)</f>
        <v>5.0326390861994828E-2</v>
      </c>
      <c r="U73" s="33">
        <f>O73*T73</f>
        <v>2633.6303601990512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32</v>
      </c>
      <c r="I74" s="4">
        <v>12</v>
      </c>
      <c r="J74" s="4">
        <v>24</v>
      </c>
      <c r="K74" s="4"/>
      <c r="L74" s="4"/>
      <c r="M74" s="4"/>
      <c r="N74" s="4"/>
      <c r="O74" s="4">
        <v>165011</v>
      </c>
      <c r="Q74" s="13">
        <f>O74*$Q$15</f>
        <v>8685.8379814077034</v>
      </c>
      <c r="R74" s="14"/>
      <c r="S74" s="1">
        <f>H74*24+I74+J74/60+K74/3600</f>
        <v>780.4</v>
      </c>
      <c r="T74" s="15">
        <f>Q15+(Q16-Q15)*(S74-S15)/(S16-S15)</f>
        <v>5.0326390861994828E-2</v>
      </c>
      <c r="U74" s="16">
        <f>O74*T74</f>
        <v>8304.4080825286292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32</v>
      </c>
      <c r="I75" s="4">
        <v>12</v>
      </c>
      <c r="J75" s="4">
        <v>26</v>
      </c>
      <c r="K75" s="4"/>
      <c r="L75" s="4"/>
      <c r="M75" s="4"/>
      <c r="N75" s="4"/>
      <c r="O75" s="4">
        <v>176150</v>
      </c>
      <c r="Q75" s="13">
        <f>O75*$Q$15</f>
        <v>9272.1719183870573</v>
      </c>
      <c r="R75" s="14"/>
      <c r="S75" s="1">
        <f>H75*24+I75+J75/60+K75/3600</f>
        <v>780.43333333333328</v>
      </c>
      <c r="T75" s="15">
        <f>Q15+(Q16-Q15)*(S75-S15)/(S16-S15)</f>
        <v>5.0252421509866065E-2</v>
      </c>
      <c r="U75" s="16">
        <f>O75*T75</f>
        <v>8851.9640489629073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32</v>
      </c>
      <c r="I76" s="4">
        <v>12</v>
      </c>
      <c r="J76" s="4">
        <v>27</v>
      </c>
      <c r="K76" s="4"/>
      <c r="L76" s="4"/>
      <c r="M76" s="4"/>
      <c r="N76" s="4"/>
      <c r="O76" s="4">
        <v>229725</v>
      </c>
      <c r="Q76" s="13">
        <f>O76*$Q$15</f>
        <v>12092.249185077872</v>
      </c>
      <c r="R76" s="14"/>
      <c r="S76" s="1">
        <f>H76*24+I76+J76/60+K76/3600</f>
        <v>780.45</v>
      </c>
      <c r="T76" s="15">
        <f>Q15+(Q16-Q15)*(S76-S15)/(S16-S15)</f>
        <v>5.0215436833801426E-2</v>
      </c>
      <c r="U76" s="16">
        <f>O76*T76</f>
        <v>11535.741226645032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32</v>
      </c>
      <c r="I77" s="4">
        <v>12</v>
      </c>
      <c r="J77" s="4">
        <v>28</v>
      </c>
      <c r="K77" s="4"/>
      <c r="L77" s="4"/>
      <c r="M77" s="4"/>
      <c r="N77" s="4"/>
      <c r="O77" s="4">
        <v>280883</v>
      </c>
      <c r="Q77" s="13">
        <f>O77*$Q$15</f>
        <v>14785.100567427262</v>
      </c>
      <c r="R77" s="14"/>
      <c r="S77" s="1">
        <f>H77*24+I77+J77/60+K77/3600</f>
        <v>780.4666666666667</v>
      </c>
      <c r="T77" s="15">
        <f>Q15+(Q16-Q15)*(S77-S15)/(S16-S15)</f>
        <v>5.0178452157737044E-2</v>
      </c>
      <c r="U77" s="16">
        <f>O77*T77</f>
        <v>14094.274177421654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32</v>
      </c>
      <c r="I78" s="4">
        <v>12</v>
      </c>
      <c r="J78" s="4">
        <v>29</v>
      </c>
      <c r="K78" s="4"/>
      <c r="L78" s="4"/>
      <c r="M78" s="4"/>
      <c r="N78" s="4"/>
      <c r="O78" s="4">
        <v>176394</v>
      </c>
      <c r="Q78" s="13">
        <f>O78*$Q$15</f>
        <v>9285.0155740673672</v>
      </c>
      <c r="R78" s="14"/>
      <c r="S78" s="1">
        <f>H78*24+I78+J78/60+K78/3600</f>
        <v>780.48333333333335</v>
      </c>
      <c r="T78" s="15">
        <f>Q15+(Q16-Q15)*(S78-S15)/(S16-S15)</f>
        <v>5.0141467481672662E-2</v>
      </c>
      <c r="U78" s="16">
        <f>O78*T78</f>
        <v>8844.6540149621669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32</v>
      </c>
      <c r="I79" s="4">
        <v>12</v>
      </c>
      <c r="J79" s="4">
        <v>29</v>
      </c>
      <c r="K79" s="4"/>
      <c r="L79" s="4"/>
      <c r="M79" s="4"/>
      <c r="N79" s="4"/>
      <c r="O79" s="4">
        <v>319911</v>
      </c>
      <c r="Q79" s="13">
        <f>O79*$Q$15</f>
        <v>16839.453821079318</v>
      </c>
      <c r="R79" s="14"/>
      <c r="S79" s="1">
        <f>H79*24+I79+J79/60+K79/3600</f>
        <v>780.48333333333335</v>
      </c>
      <c r="T79" s="15">
        <f>Q15+(Q16-Q15)*(S79-S15)/(S16-S15)</f>
        <v>5.0141467481672662E-2</v>
      </c>
      <c r="U79" s="16">
        <f>O79*T79</f>
        <v>16040.807003529382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32</v>
      </c>
      <c r="I80" s="4">
        <v>12</v>
      </c>
      <c r="J80" s="4">
        <v>30</v>
      </c>
      <c r="K80" s="4"/>
      <c r="L80" s="4"/>
      <c r="M80" s="4"/>
      <c r="N80" s="4"/>
      <c r="O80" s="4">
        <v>143318</v>
      </c>
      <c r="Q80" s="13">
        <f>O80*$Q$15</f>
        <v>7543.9632983218644</v>
      </c>
      <c r="R80" s="14"/>
      <c r="S80" s="1">
        <f>H80*24+I80+J80/60+K80/3600</f>
        <v>780.5</v>
      </c>
      <c r="T80" s="15">
        <f>Q15+(Q16-Q15)*(S80-S15)/(S16-S15)</f>
        <v>5.010448280560828E-2</v>
      </c>
      <c r="U80" s="16">
        <f>O80*T80</f>
        <v>7180.8742667341676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32</v>
      </c>
      <c r="I81" s="4">
        <v>12</v>
      </c>
      <c r="J81" s="4">
        <v>33</v>
      </c>
      <c r="K81" s="4"/>
      <c r="L81" s="4"/>
      <c r="M81" s="4"/>
      <c r="N81" s="4"/>
      <c r="O81" s="4">
        <v>128890</v>
      </c>
      <c r="Q81" s="13">
        <f>O81*$Q$15</f>
        <v>6784.5031993239163</v>
      </c>
      <c r="R81" s="14"/>
      <c r="S81" s="1">
        <f>H81*24+I81+J81/60+K81/3600</f>
        <v>780.55</v>
      </c>
      <c r="T81" s="15">
        <f>Q15+(Q16-Q15)*(S81-S15)/(S16-S15)</f>
        <v>4.9993528777415128E-2</v>
      </c>
      <c r="U81" s="33">
        <f>O81*T81</f>
        <v>6443.6659241210355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32</v>
      </c>
      <c r="I82" s="4">
        <v>12</v>
      </c>
      <c r="J82" s="4">
        <v>32</v>
      </c>
      <c r="K82" s="4"/>
      <c r="L82" s="4"/>
      <c r="M82" s="4"/>
      <c r="N82" s="4"/>
      <c r="O82" s="4">
        <v>90645</v>
      </c>
      <c r="Q82" s="13">
        <f>O82*$Q$15</f>
        <v>4771.3654473017023</v>
      </c>
      <c r="R82" s="14"/>
      <c r="S82" s="1">
        <f>H82*24+I82+J82/60+K82/3600</f>
        <v>780.5333333333333</v>
      </c>
      <c r="T82" s="15">
        <f>Q15+(Q16-Q15)*(S82-S15)/(S16-S15)</f>
        <v>5.003051345347951E-2</v>
      </c>
      <c r="U82" s="16">
        <f>O82*T82</f>
        <v>4535.0158919906498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32</v>
      </c>
      <c r="I83" s="4">
        <v>12</v>
      </c>
      <c r="J83" s="4">
        <v>33</v>
      </c>
      <c r="K83" s="4"/>
      <c r="L83" s="4"/>
      <c r="M83" s="4"/>
      <c r="N83" s="4"/>
      <c r="O83" s="4">
        <v>113426</v>
      </c>
      <c r="Q83" s="13">
        <f>O83*$Q$15</f>
        <v>5970.5102016177716</v>
      </c>
      <c r="R83" s="14"/>
      <c r="S83" s="1">
        <f>H83*24+I83+J83/60+K83/3600</f>
        <v>780.55</v>
      </c>
      <c r="T83" s="15">
        <f>Q15+(Q16-Q15)*(S83-S15)/(S16-S15)</f>
        <v>4.9993528777415128E-2</v>
      </c>
      <c r="U83" s="16">
        <f>O83*T83</f>
        <v>5670.5659951070884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32</v>
      </c>
      <c r="I84" s="4">
        <v>12</v>
      </c>
      <c r="J84" s="4">
        <v>34</v>
      </c>
      <c r="K84" s="4"/>
      <c r="L84" s="4"/>
      <c r="M84" s="4"/>
      <c r="N84" s="4"/>
      <c r="O84" s="4">
        <v>138970</v>
      </c>
      <c r="Q84" s="13">
        <f>O84*$Q$15</f>
        <v>7315.0935651334057</v>
      </c>
      <c r="R84" s="14"/>
      <c r="S84" s="1">
        <f>H84*24+I84+J84/60+K84/3600</f>
        <v>780.56666666666672</v>
      </c>
      <c r="T84" s="15">
        <f>Q15+(Q16-Q15)*(S84-S15)/(S16-S15)</f>
        <v>4.9956544101350496E-2</v>
      </c>
      <c r="U84" s="16">
        <f>O84*T84</f>
        <v>6942.460933764678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32</v>
      </c>
      <c r="I85" s="4">
        <v>12</v>
      </c>
      <c r="J85" s="4">
        <v>37</v>
      </c>
      <c r="K85" s="4"/>
      <c r="L85" s="4"/>
      <c r="M85" s="4"/>
      <c r="N85" s="4"/>
      <c r="O85" s="4">
        <v>186885</v>
      </c>
      <c r="Q85" s="13">
        <f>O85*$Q$15</f>
        <v>9837.2401303875413</v>
      </c>
      <c r="R85" s="14"/>
      <c r="S85" s="1">
        <f>H85*24+I85+J85/60+K85/3600</f>
        <v>780.61666666666667</v>
      </c>
      <c r="T85" s="15">
        <f>Q$15+(Q$16-Q$15)*(S85-S$15)/(S$16-S$15)</f>
        <v>4.9845590073157343E-2</v>
      </c>
      <c r="U85" s="16">
        <f>O85*T85</f>
        <v>9315.3931008220097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32</v>
      </c>
      <c r="I86" s="4">
        <v>12</v>
      </c>
      <c r="J86" s="4">
        <v>36</v>
      </c>
      <c r="K86" s="4"/>
      <c r="L86" s="4"/>
      <c r="M86" s="4"/>
      <c r="N86" s="4"/>
      <c r="O86" s="4">
        <v>128982</v>
      </c>
      <c r="Q86" s="13">
        <f>O86*$Q$15</f>
        <v>6789.3458891705905</v>
      </c>
      <c r="R86" s="14"/>
      <c r="S86" s="1">
        <f>H86*24+I86+J86/60+K86/3600</f>
        <v>780.6</v>
      </c>
      <c r="T86" s="15">
        <f>Q$15+(Q$16-Q$15)*(S86-S$15)/(S$16-S$15)</f>
        <v>4.9882574749221725E-2</v>
      </c>
      <c r="U86" s="16">
        <f>O86*T86</f>
        <v>6433.9542563041168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32</v>
      </c>
      <c r="I87" s="4">
        <v>12</v>
      </c>
      <c r="J87" s="29">
        <v>38</v>
      </c>
      <c r="K87" s="29"/>
      <c r="L87" s="29"/>
      <c r="M87" s="29"/>
      <c r="N87" s="29"/>
      <c r="O87" s="29">
        <v>147006</v>
      </c>
      <c r="P87" s="2"/>
      <c r="Q87" s="30">
        <f>O87*$Q$15</f>
        <v>7738.0919956537491</v>
      </c>
      <c r="R87" s="31"/>
      <c r="S87" s="2">
        <f>H87*24+I87+J87/60+K87/3600</f>
        <v>780.63333333333333</v>
      </c>
      <c r="T87" s="15">
        <f>Q$15+(Q$16-Q$15)*(S87-S$15)/(S$16-S$15)</f>
        <v>4.9808605397092962E-2</v>
      </c>
      <c r="U87" s="16">
        <f>O87*T87</f>
        <v>7322.1638450050477</v>
      </c>
    </row>
    <row r="88" spans="1:21" ht="15.75">
      <c r="C88" s="18">
        <v>70</v>
      </c>
      <c r="F88" s="4">
        <v>2013</v>
      </c>
      <c r="G88" s="4">
        <v>8</v>
      </c>
      <c r="H88" s="4">
        <v>32</v>
      </c>
      <c r="I88" s="4">
        <v>12</v>
      </c>
      <c r="J88" s="1">
        <v>38</v>
      </c>
      <c r="O88" s="29">
        <v>645840</v>
      </c>
      <c r="Q88" s="34">
        <f>O88*$Q$15</f>
        <v>33995.682723650854</v>
      </c>
      <c r="S88" s="1">
        <f>H88*24+I88+J88/60+K88/3600</f>
        <v>780.63333333333333</v>
      </c>
      <c r="T88" s="15">
        <f>Q$15+(Q$16-Q$15)*(S88-S$15)/(S$16-S$15)</f>
        <v>4.9808605397092962E-2</v>
      </c>
      <c r="U88" s="16">
        <f>O88*T88</f>
        <v>32168.389709658517</v>
      </c>
    </row>
    <row r="89" spans="1:21" ht="15.75">
      <c r="C89">
        <v>71</v>
      </c>
      <c r="F89" s="4">
        <v>2013</v>
      </c>
      <c r="G89" s="4">
        <v>8</v>
      </c>
      <c r="H89" s="4">
        <v>32</v>
      </c>
      <c r="I89" s="4">
        <v>12</v>
      </c>
      <c r="J89" s="1">
        <v>40</v>
      </c>
      <c r="O89" s="1">
        <v>194616</v>
      </c>
      <c r="Q89" s="34">
        <f>O89*$Q$15</f>
        <v>10244.183991307498</v>
      </c>
      <c r="S89" s="1">
        <f>H89*24+I89+J89/60+K89/3600</f>
        <v>780.66666666666663</v>
      </c>
      <c r="T89" s="15">
        <f>Q$15+(Q$16-Q$15)*(S89-S$15)/(S$16-S$15)</f>
        <v>4.9734636044964198E-2</v>
      </c>
      <c r="U89" s="33">
        <f>O89*T89</f>
        <v>9679.1559285267522</v>
      </c>
    </row>
    <row r="90" spans="1:21">
      <c r="C90" s="18">
        <v>72</v>
      </c>
      <c r="F90" s="4">
        <v>2013</v>
      </c>
      <c r="G90" s="4">
        <v>8</v>
      </c>
      <c r="H90" s="4">
        <v>32</v>
      </c>
      <c r="I90" s="4">
        <v>12</v>
      </c>
      <c r="J90" s="1">
        <v>41</v>
      </c>
      <c r="O90" s="1">
        <v>242096</v>
      </c>
      <c r="Q90" s="34">
        <f>O90*$Q$15</f>
        <v>12743.433055656164</v>
      </c>
      <c r="S90" s="1">
        <f>H90*24+I90+J90/60+K90/3600</f>
        <v>780.68333333333328</v>
      </c>
      <c r="T90" s="15">
        <f>Q$15+(Q$16-Q$15)*(S90-S$15)/(S$16-S$15)</f>
        <v>4.9697651368899816E-2</v>
      </c>
      <c r="U90" s="16">
        <f>O90*T90</f>
        <v>12031.60260580517</v>
      </c>
    </row>
    <row r="91" spans="1:21">
      <c r="C91" s="18">
        <v>73</v>
      </c>
      <c r="F91" s="4">
        <v>2013</v>
      </c>
      <c r="G91" s="4">
        <v>8</v>
      </c>
      <c r="H91" s="4">
        <v>32</v>
      </c>
      <c r="I91" s="4">
        <v>12</v>
      </c>
      <c r="J91" s="1">
        <v>44</v>
      </c>
      <c r="O91" s="1">
        <v>234707</v>
      </c>
      <c r="Q91" s="34">
        <f>O91*$Q$15</f>
        <v>12354.491367861887</v>
      </c>
      <c r="S91" s="1">
        <f>H91*24+I91+J91/60+K91/3600</f>
        <v>780.73333333333335</v>
      </c>
      <c r="T91" s="15">
        <f>Q$15+(Q$16-Q$15)*(S91-S$15)/(S$16-S$15)</f>
        <v>4.9586697340706413E-2</v>
      </c>
      <c r="U91" s="16">
        <f>O91*T91</f>
        <v>11638.344972745181</v>
      </c>
    </row>
    <row r="92" spans="1:21">
      <c r="C92">
        <v>74</v>
      </c>
      <c r="F92" s="4">
        <v>2013</v>
      </c>
      <c r="G92" s="4">
        <v>8</v>
      </c>
      <c r="H92" s="4">
        <v>32</v>
      </c>
      <c r="I92" s="4">
        <v>12</v>
      </c>
      <c r="J92" s="1">
        <v>43</v>
      </c>
      <c r="O92" s="1">
        <v>225674</v>
      </c>
      <c r="Q92" s="34">
        <f>O92*$Q$15</f>
        <v>11879.012918024871</v>
      </c>
      <c r="S92" s="1">
        <f>H92*24+I92+J92/60+K92/3600</f>
        <v>780.7166666666667</v>
      </c>
      <c r="T92" s="15">
        <f>Q$15+(Q$16-Q$15)*(S92-S$15)/(S$16-S$15)</f>
        <v>4.9623682016770795E-2</v>
      </c>
      <c r="U92" s="16">
        <f>O92*T92</f>
        <v>11198.774815452733</v>
      </c>
    </row>
    <row r="93" spans="1:21">
      <c r="C93" s="18">
        <v>75</v>
      </c>
      <c r="F93" s="4">
        <v>2013</v>
      </c>
      <c r="G93" s="4">
        <v>8</v>
      </c>
      <c r="H93" s="4">
        <v>32</v>
      </c>
      <c r="I93" s="4">
        <v>12</v>
      </c>
      <c r="J93" s="1">
        <v>45</v>
      </c>
      <c r="O93" s="1">
        <v>240555</v>
      </c>
      <c r="Q93" s="34">
        <f>O93*$Q$15</f>
        <v>12662.318000724375</v>
      </c>
      <c r="S93" s="1">
        <f>H93*24+I93+J93/60+K93/3600</f>
        <v>780.75</v>
      </c>
      <c r="T93" s="15">
        <f>Q$15+(Q$16-Q$15)*(S93-S$15)/(S$16-S$15)</f>
        <v>4.9549712664642032E-2</v>
      </c>
      <c r="U93" s="16">
        <f>O93*T93</f>
        <v>11919.431130042964</v>
      </c>
    </row>
    <row r="94" spans="1:21">
      <c r="C94" s="18">
        <v>76</v>
      </c>
      <c r="F94" s="4">
        <v>2013</v>
      </c>
      <c r="G94" s="4">
        <v>8</v>
      </c>
      <c r="H94" s="4">
        <v>32</v>
      </c>
      <c r="I94" s="4">
        <v>12</v>
      </c>
      <c r="J94" s="1">
        <v>46</v>
      </c>
      <c r="O94" s="1">
        <v>143200</v>
      </c>
      <c r="Q94" s="34">
        <f>O94*$Q$15</f>
        <v>7537.7520222141738</v>
      </c>
      <c r="S94" s="1">
        <f>H94*24+I94+J94/60+K94/3600</f>
        <v>780.76666666666665</v>
      </c>
      <c r="T94" s="15">
        <f>Q$15+(Q$16-Q$15)*(S94-S$15)/(S$16-S$15)</f>
        <v>4.951272798857765E-2</v>
      </c>
      <c r="U94" s="16">
        <f>O94*T94</f>
        <v>7090.2226479643195</v>
      </c>
    </row>
    <row r="95" spans="1:21">
      <c r="C95">
        <v>77</v>
      </c>
      <c r="F95" s="4">
        <v>2013</v>
      </c>
      <c r="G95" s="4">
        <v>8</v>
      </c>
      <c r="H95" s="4">
        <v>32</v>
      </c>
      <c r="I95" s="4">
        <v>12</v>
      </c>
      <c r="J95" s="1">
        <v>47</v>
      </c>
      <c r="O95" s="1">
        <v>88443</v>
      </c>
      <c r="Q95" s="34">
        <f>O95*$Q$15</f>
        <v>4655.4567185802243</v>
      </c>
      <c r="S95" s="1">
        <f>H95*24+I95+J95/60+K95/3600</f>
        <v>780.7833333333333</v>
      </c>
      <c r="T95" s="15">
        <f>Q$15+(Q$16-Q$15)*(S95-S$15)/(S$16-S$15)</f>
        <v>4.9475743312513268E-2</v>
      </c>
      <c r="U95" s="16">
        <f>O95*T95</f>
        <v>4375.7831657886109</v>
      </c>
    </row>
    <row r="96" spans="1:21">
      <c r="C96" s="18">
        <v>78</v>
      </c>
      <c r="F96" s="4">
        <v>2013</v>
      </c>
      <c r="G96" s="4">
        <v>8</v>
      </c>
      <c r="H96" s="4">
        <v>32</v>
      </c>
      <c r="I96" s="4">
        <v>12</v>
      </c>
      <c r="J96" s="1">
        <v>48</v>
      </c>
      <c r="O96" s="1">
        <v>97817</v>
      </c>
      <c r="Q96" s="34">
        <f>O96*$Q$15</f>
        <v>5148.8847036098032</v>
      </c>
      <c r="S96" s="1">
        <f>H96*24+I96+J96/60+K96/3600</f>
        <v>780.8</v>
      </c>
      <c r="T96" s="15">
        <f>Q$15+(Q$16-Q$15)*(S96-S$15)/(S$16-S$15)</f>
        <v>4.9438758636448886E-2</v>
      </c>
      <c r="U96" s="16">
        <f>O96*T96</f>
        <v>4835.9510535415211</v>
      </c>
    </row>
    <row r="97" spans="3:21" ht="15.75">
      <c r="C97" s="18">
        <v>79</v>
      </c>
      <c r="F97" s="4">
        <v>2013</v>
      </c>
      <c r="G97" s="4">
        <v>8</v>
      </c>
      <c r="H97" s="4">
        <v>32</v>
      </c>
      <c r="I97" s="4">
        <v>12</v>
      </c>
      <c r="J97" s="1">
        <v>48</v>
      </c>
      <c r="O97" s="1">
        <v>120893</v>
      </c>
      <c r="Q97" s="34">
        <f>O97*$Q$15</f>
        <v>6363.5576481950984</v>
      </c>
      <c r="S97" s="1">
        <f>H97*24+I97+J97/60+K97/3600</f>
        <v>780.8</v>
      </c>
      <c r="T97" s="15">
        <f>Q$15+(Q$16-Q$15)*(S97-S$15)/(S$16-S$15)</f>
        <v>4.9438758636448886E-2</v>
      </c>
      <c r="U97" s="33">
        <f>O97*T97</f>
        <v>5976.7998478362151</v>
      </c>
    </row>
    <row r="98" spans="3:21">
      <c r="C98">
        <v>80</v>
      </c>
      <c r="F98" s="4">
        <v>2013</v>
      </c>
      <c r="G98" s="4">
        <v>8</v>
      </c>
      <c r="H98" s="4">
        <v>32</v>
      </c>
      <c r="I98" s="4">
        <v>12</v>
      </c>
      <c r="J98" s="1">
        <v>49</v>
      </c>
      <c r="O98" s="1">
        <v>91891</v>
      </c>
      <c r="Q98" s="34">
        <f>O98*$Q$15</f>
        <v>4836.9523119642645</v>
      </c>
      <c r="S98" s="1">
        <f>H98*24+I98+J98/60+K98/3600</f>
        <v>780.81666666666672</v>
      </c>
      <c r="T98" s="15">
        <f>Q$15+(Q$16-Q$15)*(S98-S$15)/(S$16-S$15)</f>
        <v>4.9401773960384247E-2</v>
      </c>
      <c r="U98" s="16">
        <f>O98*T98</f>
        <v>4539.5784109936685</v>
      </c>
    </row>
    <row r="99" spans="3:21">
      <c r="C99" s="18">
        <v>81</v>
      </c>
      <c r="F99" s="4">
        <v>2013</v>
      </c>
      <c r="G99" s="4">
        <v>8</v>
      </c>
      <c r="H99" s="4">
        <v>32</v>
      </c>
      <c r="I99" s="4">
        <v>12</v>
      </c>
      <c r="J99" s="1">
        <v>50</v>
      </c>
      <c r="O99" s="1">
        <v>186394</v>
      </c>
      <c r="Q99" s="34">
        <f>O99*$Q$15</f>
        <v>9811.3949052275748</v>
      </c>
      <c r="S99" s="1">
        <f>H99*24+I99+J99/60+K99/3600</f>
        <v>780.83333333333337</v>
      </c>
      <c r="T99" s="15">
        <f>Q$15+(Q$16-Q$15)*(S99-S$15)/(S$16-S$15)</f>
        <v>4.9364789284319865E-2</v>
      </c>
      <c r="U99" s="16">
        <f>O99*T99</f>
        <v>9201.3005338615167</v>
      </c>
    </row>
    <row r="100" spans="3:21">
      <c r="C100" s="18">
        <v>82</v>
      </c>
      <c r="F100" s="4">
        <v>2013</v>
      </c>
      <c r="G100" s="4">
        <v>8</v>
      </c>
      <c r="H100" s="4">
        <v>32</v>
      </c>
      <c r="I100" s="4">
        <v>12</v>
      </c>
      <c r="J100" s="1">
        <v>51</v>
      </c>
      <c r="O100" s="1">
        <v>208555</v>
      </c>
      <c r="Q100" s="34">
        <f>O100*$Q$15</f>
        <v>10977.904141011712</v>
      </c>
      <c r="S100" s="1">
        <f>H100*24+I100+J100/60+K100/3600</f>
        <v>780.85</v>
      </c>
      <c r="T100" s="15">
        <f>Q$15+(Q$16-Q$15)*(S100-S$15)/(S$16-S$15)</f>
        <v>4.9327804608255484E-2</v>
      </c>
      <c r="U100" s="16">
        <f>O100*T100</f>
        <v>10287.560290074722</v>
      </c>
    </row>
    <row r="101" spans="3:21">
      <c r="C101">
        <v>83</v>
      </c>
      <c r="F101" s="4">
        <v>2013</v>
      </c>
      <c r="G101" s="4">
        <v>8</v>
      </c>
      <c r="H101" s="4">
        <v>32</v>
      </c>
      <c r="I101" s="4">
        <v>12</v>
      </c>
      <c r="J101" s="1">
        <v>52</v>
      </c>
      <c r="O101" s="1">
        <v>196141</v>
      </c>
      <c r="Q101" s="34">
        <f>O101*$Q$15</f>
        <v>10324.456839309429</v>
      </c>
      <c r="S101" s="1">
        <f>H101*24+I101+J101/60+K101/3600</f>
        <v>780.86666666666667</v>
      </c>
      <c r="T101" s="15">
        <f>Q$15+(Q$16-Q$15)*(S101-S$15)/(S$16-S$15)</f>
        <v>4.9290819932191102E-2</v>
      </c>
      <c r="U101" s="16">
        <f>O101*T101</f>
        <v>9667.9507123198946</v>
      </c>
    </row>
    <row r="102" spans="3:21">
      <c r="C102" s="18">
        <v>84</v>
      </c>
      <c r="F102" s="4">
        <v>2013</v>
      </c>
      <c r="G102" s="4">
        <v>8</v>
      </c>
      <c r="H102" s="4">
        <v>32</v>
      </c>
      <c r="I102" s="4">
        <v>12</v>
      </c>
      <c r="J102" s="1">
        <v>53</v>
      </c>
      <c r="O102" s="1">
        <v>373944</v>
      </c>
      <c r="Q102" s="34">
        <f>O102*$Q$15</f>
        <v>19683.639261137268</v>
      </c>
      <c r="S102" s="1">
        <f>H102*24+I102+J102/60+K102/3600</f>
        <v>780.88333333333333</v>
      </c>
      <c r="T102" s="15">
        <f>Q$15+(Q$16-Q$15)*(S102-S$15)/(S$16-S$15)</f>
        <v>4.925383525612672E-2</v>
      </c>
      <c r="U102" s="16">
        <f>O102*T102</f>
        <v>18418.17617101705</v>
      </c>
    </row>
  </sheetData>
  <conditionalFormatting sqref="N88:N65536">
    <cfRule type="cellIs" dxfId="7" priority="2" operator="greaterThan">
      <formula>300000</formula>
    </cfRule>
  </conditionalFormatting>
  <conditionalFormatting sqref="Q19:Q87">
    <cfRule type="cellIs" dxfId="6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2"/>
  <sheetViews>
    <sheetView zoomScale="68" zoomScaleNormal="68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0.140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41487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36</v>
      </c>
      <c r="I2" s="4">
        <v>11</v>
      </c>
      <c r="J2" s="4">
        <v>20</v>
      </c>
      <c r="K2" s="4"/>
      <c r="L2" s="4"/>
      <c r="M2" s="4"/>
      <c r="N2" s="4"/>
      <c r="O2" s="4">
        <v>167928</v>
      </c>
      <c r="P2"/>
      <c r="Q2"/>
      <c r="R2"/>
      <c r="S2" s="1">
        <f>H2*24+I2+J2/60+K2/3600</f>
        <v>875.33333333333337</v>
      </c>
      <c r="T2"/>
      <c r="U2"/>
      <c r="X2" t="s">
        <v>94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36</v>
      </c>
      <c r="I3" s="4">
        <v>11</v>
      </c>
      <c r="J3" s="4">
        <v>21</v>
      </c>
      <c r="K3" s="4"/>
      <c r="L3" s="4"/>
      <c r="M3" s="4"/>
      <c r="N3" s="4"/>
      <c r="O3" s="4">
        <v>165763</v>
      </c>
      <c r="P3"/>
      <c r="Q3"/>
      <c r="R3"/>
      <c r="S3" s="1">
        <f>H3*24+I3+J3/60+K3/3600</f>
        <v>875.35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36</v>
      </c>
      <c r="I4" s="4">
        <v>11</v>
      </c>
      <c r="J4" s="4">
        <v>22</v>
      </c>
      <c r="K4" s="4"/>
      <c r="L4" s="4"/>
      <c r="M4" s="4"/>
      <c r="N4" s="4"/>
      <c r="O4" s="4">
        <v>168998</v>
      </c>
      <c r="P4"/>
      <c r="Q4"/>
      <c r="R4"/>
      <c r="S4" s="1">
        <f>H4*24+I4+J4/60+K4/3600</f>
        <v>875.36666666666667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36</v>
      </c>
      <c r="I5" s="4">
        <v>11</v>
      </c>
      <c r="J5" s="4">
        <v>23</v>
      </c>
      <c r="K5" s="4"/>
      <c r="L5" s="4"/>
      <c r="M5" s="4"/>
      <c r="N5" s="4"/>
      <c r="O5" s="4">
        <v>159896</v>
      </c>
      <c r="P5"/>
      <c r="Q5"/>
      <c r="R5"/>
      <c r="S5" s="1">
        <f>H5*24+I5+J5/60+K5/3600</f>
        <v>875.38333333333333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36</v>
      </c>
      <c r="I7" s="4">
        <v>15</v>
      </c>
      <c r="J7" s="4">
        <v>8</v>
      </c>
      <c r="K7" s="4"/>
      <c r="L7" s="4"/>
      <c r="M7" s="4"/>
      <c r="N7" s="4"/>
      <c r="O7" s="4">
        <v>144442</v>
      </c>
      <c r="P7"/>
      <c r="Q7"/>
      <c r="R7"/>
      <c r="S7" s="1">
        <f>H7*24+I7+J7/60+K7/3600</f>
        <v>879.13333333333333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36</v>
      </c>
      <c r="I8" s="4">
        <v>15</v>
      </c>
      <c r="J8" s="4">
        <v>9</v>
      </c>
      <c r="K8" s="4"/>
      <c r="L8" s="4"/>
      <c r="M8" s="4"/>
      <c r="N8" s="4"/>
      <c r="O8" s="4">
        <v>137874</v>
      </c>
      <c r="P8"/>
      <c r="Q8"/>
      <c r="R8"/>
      <c r="S8" s="1">
        <f>H8*24+I8+J8/60+K8/3600</f>
        <v>879.15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36</v>
      </c>
      <c r="I9" s="4">
        <v>15</v>
      </c>
      <c r="J9" s="4">
        <v>10</v>
      </c>
      <c r="K9" s="4"/>
      <c r="L9" s="4"/>
      <c r="M9" s="4"/>
      <c r="N9" s="4"/>
      <c r="O9" s="4">
        <v>113835</v>
      </c>
      <c r="P9"/>
      <c r="Q9"/>
      <c r="R9"/>
      <c r="S9" s="1">
        <f>H9*24+I9+J9/60+K9/3600</f>
        <v>879.16666666666663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36</v>
      </c>
      <c r="I10" s="4">
        <v>15</v>
      </c>
      <c r="J10" s="4">
        <v>11</v>
      </c>
      <c r="K10" s="4"/>
      <c r="L10" s="4"/>
      <c r="M10" s="4"/>
      <c r="N10" s="4"/>
      <c r="O10" s="4">
        <v>136650</v>
      </c>
      <c r="P10"/>
      <c r="Q10"/>
      <c r="R10"/>
      <c r="S10" s="1">
        <f>H10*24+I10+J10/60+K10/3600</f>
        <v>879.18333333333328</v>
      </c>
      <c r="T10"/>
      <c r="U10"/>
    </row>
    <row r="11" spans="1:24">
      <c r="A11"/>
      <c r="D11"/>
      <c r="E11"/>
      <c r="F11" s="4">
        <v>2013</v>
      </c>
      <c r="G11" s="4">
        <v>8</v>
      </c>
      <c r="H11" s="4">
        <v>36</v>
      </c>
      <c r="I11" s="4">
        <v>15</v>
      </c>
      <c r="J11" s="4">
        <v>12</v>
      </c>
      <c r="K11" s="4"/>
      <c r="L11" s="4"/>
      <c r="M11" s="4"/>
      <c r="N11" s="4"/>
      <c r="O11" s="4">
        <v>134803</v>
      </c>
      <c r="P11"/>
      <c r="Q11"/>
      <c r="R11"/>
      <c r="S11"/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165646.25</v>
      </c>
      <c r="Q15" s="8">
        <f>F15/O15</f>
        <v>5.4616388840677044E-2</v>
      </c>
      <c r="S15" s="1">
        <f>AVERAGE(S2:S6)</f>
        <v>875.35833333333335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133520.79999999999</v>
      </c>
      <c r="Q16" s="1">
        <f>F15/O16</f>
        <v>6.7757233329938119E-2</v>
      </c>
      <c r="S16" s="1">
        <f>AVERAGE(S7:S11)</f>
        <v>879.1583333333333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36</v>
      </c>
      <c r="I19" s="4">
        <v>13</v>
      </c>
      <c r="J19" s="4">
        <v>50</v>
      </c>
      <c r="K19" s="4"/>
      <c r="L19" s="4"/>
      <c r="M19" s="4"/>
      <c r="N19" s="4"/>
      <c r="O19" s="4">
        <v>64899</v>
      </c>
      <c r="Q19" s="13">
        <f>O19*$Q$15</f>
        <v>3544.5490193710993</v>
      </c>
      <c r="R19" s="14"/>
      <c r="S19" s="1">
        <f>H19*24+I19+J19/60+K19/3600</f>
        <v>877.83333333333337</v>
      </c>
      <c r="T19" s="15">
        <f>Q15+(Q16-Q15)*(S19-S15)/(S16-S15)</f>
        <v>6.3175228343551215E-2</v>
      </c>
      <c r="U19" s="16">
        <f>O19*T19</f>
        <v>4100.0091442681305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36</v>
      </c>
      <c r="I20" s="4">
        <v>13</v>
      </c>
      <c r="J20" s="4">
        <v>53</v>
      </c>
      <c r="K20" s="4"/>
      <c r="L20" s="4"/>
      <c r="M20" s="4"/>
      <c r="N20" s="4"/>
      <c r="O20" s="4">
        <v>67731</v>
      </c>
      <c r="Q20" s="13">
        <f>O20*$Q$15</f>
        <v>3699.2226325678967</v>
      </c>
      <c r="R20" s="14"/>
      <c r="S20" s="1">
        <f>H20*24+I20+J20/60+K20/3600</f>
        <v>877.88333333333333</v>
      </c>
      <c r="T20" s="15">
        <f>Q15+(Q16-Q15)*(S20-S15)/(S16-S15)</f>
        <v>6.3348134192093966E-2</v>
      </c>
      <c r="U20" s="16">
        <f>O20*T20</f>
        <v>4290.6324769647163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36</v>
      </c>
      <c r="I21" s="4">
        <v>13</v>
      </c>
      <c r="J21" s="4">
        <v>56</v>
      </c>
      <c r="K21" s="4"/>
      <c r="L21" s="4"/>
      <c r="M21" s="4"/>
      <c r="N21" s="4"/>
      <c r="O21" s="4">
        <v>81766</v>
      </c>
      <c r="Q21" s="13">
        <f>O21*$Q$15</f>
        <v>4465.763649946799</v>
      </c>
      <c r="R21" s="14"/>
      <c r="S21" s="1">
        <f>H21*24+I21+J21/60+K21/3600</f>
        <v>877.93333333333328</v>
      </c>
      <c r="T21" s="15">
        <f>Q15+(Q16-Q15)*(S21-S15)/(S16-S15)</f>
        <v>6.3521040040636717E-2</v>
      </c>
      <c r="U21" s="16">
        <f>O21*T21</f>
        <v>5193.8613599627015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36</v>
      </c>
      <c r="I22" s="4">
        <v>13</v>
      </c>
      <c r="J22" s="4">
        <v>57</v>
      </c>
      <c r="K22" s="4"/>
      <c r="L22" s="4"/>
      <c r="M22" s="4"/>
      <c r="N22" s="4"/>
      <c r="O22" s="4">
        <v>46054</v>
      </c>
      <c r="Q22" s="13">
        <f>O22*$Q$15</f>
        <v>2515.3031716685405</v>
      </c>
      <c r="R22" s="14"/>
      <c r="S22" s="1">
        <f>H22*24+I22+J22/60+K22/3600</f>
        <v>877.95</v>
      </c>
      <c r="T22" s="15">
        <f>Q15+(Q16-Q15)*(S22-S15)/(S16-S15)</f>
        <v>6.3578675323484699E-2</v>
      </c>
      <c r="U22" s="16">
        <f>O22*T22</f>
        <v>2928.0523133477641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36</v>
      </c>
      <c r="I23" s="4">
        <v>14</v>
      </c>
      <c r="J23" s="4">
        <v>1</v>
      </c>
      <c r="K23" s="4"/>
      <c r="L23" s="4"/>
      <c r="M23" s="4"/>
      <c r="N23" s="4"/>
      <c r="O23" s="4">
        <v>98320</v>
      </c>
      <c r="Q23" s="13">
        <f>O23*$Q$15</f>
        <v>5369.8833508153666</v>
      </c>
      <c r="R23" s="14"/>
      <c r="S23" s="1">
        <f>H23*24+I23+J23/60+K23/3600</f>
        <v>878.01666666666665</v>
      </c>
      <c r="T23" s="15">
        <f>Q15+(Q16-Q15)*(S23-S15)/(S16-S15)</f>
        <v>6.3809216454875042E-2</v>
      </c>
      <c r="U23" s="16">
        <f>O23*T23</f>
        <v>6273.7221618433141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36</v>
      </c>
      <c r="I24" s="4">
        <v>14</v>
      </c>
      <c r="J24" s="4">
        <v>4</v>
      </c>
      <c r="K24" s="4"/>
      <c r="L24" s="4"/>
      <c r="M24" s="4"/>
      <c r="N24" s="4"/>
      <c r="O24" s="4">
        <v>38904</v>
      </c>
      <c r="Q24" s="13">
        <f>O24*$Q$15</f>
        <v>2124.7959914576995</v>
      </c>
      <c r="R24" s="14"/>
      <c r="S24" s="1">
        <f>H24*24+I24+J24/60+K24/3600</f>
        <v>878.06666666666672</v>
      </c>
      <c r="T24" s="15">
        <f>Q15+(Q16-Q15)*(S24-S15)/(S16-S15)</f>
        <v>6.3982122303418182E-2</v>
      </c>
      <c r="U24" s="16">
        <f>O24*T24</f>
        <v>2489.1604860921811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36</v>
      </c>
      <c r="I25" s="4">
        <v>14</v>
      </c>
      <c r="J25" s="4">
        <v>6</v>
      </c>
      <c r="K25" s="4"/>
      <c r="L25" s="4"/>
      <c r="M25" s="4"/>
      <c r="N25" s="4"/>
      <c r="O25" s="4">
        <v>54522</v>
      </c>
      <c r="Q25" s="13">
        <f>O25*$Q$15</f>
        <v>2977.7947523713938</v>
      </c>
      <c r="R25" s="14"/>
      <c r="S25" s="1">
        <f>H25*24+I25+J25/60+K25/3600</f>
        <v>878.1</v>
      </c>
      <c r="T25" s="15">
        <f>Q15+(Q16-Q15)*(S25-S15)/(S16-S15)</f>
        <v>6.4097392869113354E-2</v>
      </c>
      <c r="U25" s="16">
        <f>O25*T25</f>
        <v>3494.7180540097984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36</v>
      </c>
      <c r="I26" s="4">
        <v>14</v>
      </c>
      <c r="J26" s="4">
        <v>8</v>
      </c>
      <c r="K26" s="4"/>
      <c r="L26" s="4"/>
      <c r="M26" s="4"/>
      <c r="N26" s="4"/>
      <c r="O26" s="4">
        <v>30003</v>
      </c>
      <c r="Q26" s="13">
        <f>O26*$Q$15</f>
        <v>1638.6555143868334</v>
      </c>
      <c r="R26" s="14"/>
      <c r="S26" s="1">
        <f>H26*24+I26+J26/60+K26/3600</f>
        <v>878.13333333333333</v>
      </c>
      <c r="T26" s="15">
        <f>Q15+(Q16-Q15)*(S26-S15)/(S16-S15)</f>
        <v>6.4212663434808526E-2</v>
      </c>
      <c r="U26" s="16">
        <f>O26*T26</f>
        <v>1926.5725410345601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36</v>
      </c>
      <c r="I27" s="4">
        <v>14</v>
      </c>
      <c r="J27" s="4">
        <v>10</v>
      </c>
      <c r="K27" s="4"/>
      <c r="L27" s="4"/>
      <c r="M27" s="4"/>
      <c r="N27" s="4"/>
      <c r="O27" s="4">
        <v>55955</v>
      </c>
      <c r="Q27" s="13">
        <f>O27*$Q$15</f>
        <v>3056.0600375800841</v>
      </c>
      <c r="R27" s="14"/>
      <c r="S27" s="1">
        <f>H27*24+I27+J27/60+K27/3600</f>
        <v>878.16666666666663</v>
      </c>
      <c r="T27" s="15">
        <f>Q15+(Q16-Q15)*(S27-S15)/(S16-S15)</f>
        <v>6.4327934000503698E-2</v>
      </c>
      <c r="U27" s="16">
        <f>O27*T27</f>
        <v>3599.4695469981843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36</v>
      </c>
      <c r="I28" s="4">
        <v>14</v>
      </c>
      <c r="J28" s="4">
        <v>13</v>
      </c>
      <c r="K28" s="4"/>
      <c r="L28" s="4"/>
      <c r="M28" s="4"/>
      <c r="N28" s="4"/>
      <c r="O28" s="4">
        <v>63718</v>
      </c>
      <c r="Q28" s="13">
        <f>O28*$Q$15</f>
        <v>3480.0470641502598</v>
      </c>
      <c r="R28" s="14"/>
      <c r="S28" s="1">
        <f>H28*24+I28+J28/60+K28/3600</f>
        <v>878.2166666666667</v>
      </c>
      <c r="T28" s="15">
        <f>Q15+(Q16-Q15)*(S28-S15)/(S16-S15)</f>
        <v>6.4500839849046837E-2</v>
      </c>
      <c r="U28" s="16">
        <f>O28*T28</f>
        <v>4109.8645135015668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36</v>
      </c>
      <c r="I29" s="4">
        <v>14</v>
      </c>
      <c r="J29" s="4">
        <v>17</v>
      </c>
      <c r="K29" s="4"/>
      <c r="L29" s="4"/>
      <c r="M29" s="4"/>
      <c r="N29" s="4"/>
      <c r="O29" s="4">
        <v>56134</v>
      </c>
      <c r="Q29" s="13">
        <f>O29*$Q$15</f>
        <v>3065.836371182565</v>
      </c>
      <c r="R29" s="14"/>
      <c r="S29" s="1">
        <f>H29*24+I29+J29/60+K29/3600</f>
        <v>878.2833333333333</v>
      </c>
      <c r="T29" s="15">
        <f>Q15+(Q16-Q15)*(S29-S15)/(S16-S15)</f>
        <v>6.4731380980437181E-2</v>
      </c>
      <c r="U29" s="16">
        <f>O29*T29</f>
        <v>3633.6313399558608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36</v>
      </c>
      <c r="I30" s="4">
        <v>14</v>
      </c>
      <c r="J30" s="4">
        <v>19</v>
      </c>
      <c r="K30" s="4"/>
      <c r="L30" s="4"/>
      <c r="M30" s="4"/>
      <c r="N30" s="4"/>
      <c r="O30" s="4">
        <v>47312</v>
      </c>
      <c r="Q30" s="13">
        <f>O30*$Q$15</f>
        <v>2584.0105888301123</v>
      </c>
      <c r="R30" s="14"/>
      <c r="S30" s="1">
        <f>H30*24+I30+J30/60+K30/3600</f>
        <v>878.31666666666672</v>
      </c>
      <c r="T30" s="15">
        <f>Q15+(Q16-Q15)*(S30-S15)/(S16-S15)</f>
        <v>6.4846651546132741E-2</v>
      </c>
      <c r="U30" s="16">
        <f>O30*T30</f>
        <v>3068.0247779506321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36</v>
      </c>
      <c r="I31" s="4">
        <v>14</v>
      </c>
      <c r="J31" s="4">
        <v>20</v>
      </c>
      <c r="K31" s="4"/>
      <c r="L31" s="4"/>
      <c r="M31" s="4"/>
      <c r="N31" s="4"/>
      <c r="O31" s="4">
        <v>54726</v>
      </c>
      <c r="Q31" s="13">
        <f>O31*$Q$15</f>
        <v>2988.9364956948921</v>
      </c>
      <c r="R31" s="14"/>
      <c r="S31" s="1">
        <f>H31*24+I31+J31/60+K31/3600</f>
        <v>878.33333333333337</v>
      </c>
      <c r="T31" s="15">
        <f>Q15+(Q16-Q15)*(S31-S15)/(S16-S15)</f>
        <v>6.490428682898032E-2</v>
      </c>
      <c r="U31" s="16">
        <f>O31*T31</f>
        <v>3551.9520010027768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36</v>
      </c>
      <c r="I32" s="4">
        <v>14</v>
      </c>
      <c r="J32" s="4">
        <v>22</v>
      </c>
      <c r="K32" s="4"/>
      <c r="L32" s="4"/>
      <c r="M32" s="4"/>
      <c r="N32" s="4"/>
      <c r="O32" s="4">
        <v>15936</v>
      </c>
      <c r="Q32" s="13">
        <f>O32*$Q$15</f>
        <v>870.36677256502935</v>
      </c>
      <c r="R32" s="14"/>
      <c r="S32" s="1">
        <f>H32*24+I32+J32/60+K32/3600</f>
        <v>878.36666666666667</v>
      </c>
      <c r="T32" s="15">
        <f>Q15+(Q16-Q15)*(S32-S15)/(S16-S15)</f>
        <v>6.5019557394675492E-2</v>
      </c>
      <c r="U32" s="16">
        <f>O32*T32</f>
        <v>1036.1516666415487</v>
      </c>
    </row>
    <row r="33" spans="1:24">
      <c r="A33" s="17"/>
      <c r="C33" s="18">
        <v>15</v>
      </c>
      <c r="D33" s="12"/>
      <c r="E33" s="12"/>
      <c r="F33" s="4">
        <v>2013</v>
      </c>
      <c r="G33" s="4">
        <v>8</v>
      </c>
      <c r="H33" s="4">
        <v>36</v>
      </c>
      <c r="I33" s="4">
        <v>14</v>
      </c>
      <c r="J33" s="4">
        <v>23</v>
      </c>
      <c r="K33" s="4"/>
      <c r="L33" s="4"/>
      <c r="M33" s="4"/>
      <c r="N33" s="4"/>
      <c r="O33" s="4">
        <v>350182</v>
      </c>
      <c r="Q33" s="13">
        <f>O33*$Q$15</f>
        <v>19125.676277005969</v>
      </c>
      <c r="R33" s="14"/>
      <c r="S33" s="1">
        <f>H33*24+I33+J33/60+K33/3600</f>
        <v>878.38333333333333</v>
      </c>
      <c r="T33" s="15">
        <f>Q15+(Q16-Q15)*(S33-S15)/(S16-S15)</f>
        <v>6.5077192677523071E-2</v>
      </c>
      <c r="U33" s="16">
        <f>O33*T33</f>
        <v>22788.861486200385</v>
      </c>
    </row>
    <row r="34" spans="1:24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36</v>
      </c>
      <c r="I34" s="4">
        <v>14</v>
      </c>
      <c r="J34" s="4">
        <v>25</v>
      </c>
      <c r="K34" s="4"/>
      <c r="L34" s="4"/>
      <c r="M34" s="4"/>
      <c r="N34" s="4"/>
      <c r="O34" s="4">
        <v>450343</v>
      </c>
      <c r="Q34" s="13">
        <f>O34*$Q$15</f>
        <v>24596.108399677021</v>
      </c>
      <c r="R34" s="14"/>
      <c r="S34" s="1">
        <f>H34*24+I34+J34/60+K34/3600</f>
        <v>878.41666666666663</v>
      </c>
      <c r="T34" s="15">
        <f>Q15+(Q16-Q15)*(S34-S15)/(S16-S15)</f>
        <v>6.5192463243218243E-2</v>
      </c>
      <c r="U34" s="16">
        <f>O34*T34</f>
        <v>29358.969474340633</v>
      </c>
    </row>
    <row r="35" spans="1:24">
      <c r="A35" s="17"/>
      <c r="C35">
        <v>17</v>
      </c>
      <c r="D35" s="12"/>
      <c r="E35" s="12"/>
      <c r="F35" s="4">
        <v>2013</v>
      </c>
      <c r="G35" s="4">
        <v>8</v>
      </c>
      <c r="H35" s="4">
        <v>36</v>
      </c>
      <c r="I35" s="4">
        <v>14</v>
      </c>
      <c r="J35" s="4">
        <v>27</v>
      </c>
      <c r="K35" s="4"/>
      <c r="L35" s="4"/>
      <c r="M35" s="4"/>
      <c r="N35" s="4"/>
      <c r="O35" s="4">
        <v>209618</v>
      </c>
      <c r="Q35" s="13">
        <f>O35*$Q$15</f>
        <v>11448.578196005041</v>
      </c>
      <c r="R35" s="14"/>
      <c r="S35" s="1">
        <f>H35*24+I35+J35/60+K35/3600</f>
        <v>878.45</v>
      </c>
      <c r="T35" s="15">
        <f>Q15+(Q16-Q15)*(S35-S15)/(S16-S15)</f>
        <v>6.5307733808913804E-2</v>
      </c>
      <c r="U35" s="16">
        <f>O35*T35</f>
        <v>13689.676545556893</v>
      </c>
    </row>
    <row r="36" spans="1:24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36</v>
      </c>
      <c r="I36" s="4">
        <v>14</v>
      </c>
      <c r="J36" s="6">
        <v>28</v>
      </c>
      <c r="K36" s="6"/>
      <c r="L36" s="6"/>
      <c r="M36" s="6"/>
      <c r="N36" s="6"/>
      <c r="O36" s="6">
        <v>381640</v>
      </c>
      <c r="P36" s="5"/>
      <c r="Q36" s="21">
        <f>O36*$Q$15</f>
        <v>20843.798637155985</v>
      </c>
      <c r="R36" s="22"/>
      <c r="S36" s="5">
        <f>H36*24+I36+J36/60+K36/3600</f>
        <v>878.4666666666667</v>
      </c>
      <c r="T36" s="23">
        <f>Q15+(Q16-Q15)*(S36-S15)/(S16-S15)</f>
        <v>6.5365369091761397E-2</v>
      </c>
      <c r="U36" s="24">
        <f>O36*T36</f>
        <v>24946.039460179818</v>
      </c>
    </row>
    <row r="37" spans="1:24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36</v>
      </c>
      <c r="I37" s="4">
        <v>14</v>
      </c>
      <c r="J37" s="4">
        <v>300</v>
      </c>
      <c r="K37" s="4"/>
      <c r="L37" s="4"/>
      <c r="M37" s="4"/>
      <c r="N37" s="4"/>
      <c r="O37" s="4">
        <v>365208</v>
      </c>
      <c r="Q37" s="13">
        <f>O37*$Q$15</f>
        <v>19946.342135725983</v>
      </c>
      <c r="R37" s="14"/>
      <c r="S37" s="1">
        <f>H37*24+I37+J37/60+K37/3600</f>
        <v>883</v>
      </c>
      <c r="T37" s="15">
        <f>Q15+(Q16-Q15)*(S37-S15)/(S16-S15)</f>
        <v>8.1042166026318543E-2</v>
      </c>
      <c r="U37" s="16">
        <f>O37*T37</f>
        <v>29597.247370139743</v>
      </c>
    </row>
    <row r="38" spans="1:24">
      <c r="A38" s="17"/>
      <c r="C38">
        <v>20</v>
      </c>
      <c r="D38" s="12"/>
      <c r="E38" s="12"/>
      <c r="F38" s="4">
        <v>2013</v>
      </c>
      <c r="G38" s="4">
        <v>8</v>
      </c>
      <c r="H38" s="4">
        <v>36</v>
      </c>
      <c r="I38" s="4">
        <v>14</v>
      </c>
      <c r="J38" s="4">
        <v>31</v>
      </c>
      <c r="K38" s="4"/>
      <c r="L38" s="4"/>
      <c r="M38" s="4"/>
      <c r="N38" s="4"/>
      <c r="O38" s="4">
        <v>120042</v>
      </c>
      <c r="Q38" s="13">
        <f>O38*$Q$15</f>
        <v>6556.260549212554</v>
      </c>
      <c r="R38" s="14"/>
      <c r="S38" s="1">
        <f>H38*24+I38+J38/60+K38/3600</f>
        <v>878.51666666666665</v>
      </c>
      <c r="T38" s="15">
        <f>Q15+(Q16-Q15)*(S38-S15)/(S16-S15)</f>
        <v>6.5538274940304148E-2</v>
      </c>
      <c r="U38" s="16">
        <f>O38*T38</f>
        <v>7867.3456003839901</v>
      </c>
    </row>
    <row r="39" spans="1:24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36</v>
      </c>
      <c r="I39" s="4">
        <v>14</v>
      </c>
      <c r="J39" s="6">
        <v>34</v>
      </c>
      <c r="K39" s="6"/>
      <c r="L39" s="6"/>
      <c r="M39" s="6"/>
      <c r="N39" s="6"/>
      <c r="O39" s="6">
        <v>111146</v>
      </c>
      <c r="P39" s="5"/>
      <c r="Q39" s="21">
        <f>O39*$Q$15</f>
        <v>6070.3931540858903</v>
      </c>
      <c r="R39" s="22"/>
      <c r="S39" s="5">
        <f>H39*24+I39+J39/60+K39/3600</f>
        <v>878.56666666666672</v>
      </c>
      <c r="T39" s="23">
        <f>Q15+(Q16-Q15)*(S39-S15)/(S16-S15)</f>
        <v>6.5711180788847301E-2</v>
      </c>
      <c r="U39" s="24">
        <f>O39*T39</f>
        <v>7303.5348999572225</v>
      </c>
    </row>
    <row r="40" spans="1:24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36</v>
      </c>
      <c r="I40" s="4">
        <v>14</v>
      </c>
      <c r="J40" s="4">
        <v>35</v>
      </c>
      <c r="K40" s="4"/>
      <c r="L40" s="4"/>
      <c r="M40" s="4"/>
      <c r="N40" s="4"/>
      <c r="O40" s="4">
        <v>112819</v>
      </c>
      <c r="Q40" s="13">
        <f>O40*$Q$15</f>
        <v>6161.7663726163437</v>
      </c>
      <c r="R40" s="14"/>
      <c r="S40" s="1">
        <f>H40*24+I40+J40/60+K40/3600</f>
        <v>878.58333333333337</v>
      </c>
      <c r="T40" s="15">
        <f>Q15+(Q16-Q15)*(S40-S15)/(S16-S15)</f>
        <v>6.576881607169488E-2</v>
      </c>
      <c r="U40" s="16">
        <f>O40*T40</f>
        <v>7419.9720603925443</v>
      </c>
    </row>
    <row r="41" spans="1:24">
      <c r="A41" s="17"/>
      <c r="C41">
        <v>23</v>
      </c>
      <c r="D41" s="12"/>
      <c r="E41" s="12"/>
      <c r="F41" s="4">
        <v>2013</v>
      </c>
      <c r="G41" s="4">
        <v>8</v>
      </c>
      <c r="H41" s="4">
        <v>36</v>
      </c>
      <c r="I41" s="4">
        <v>14</v>
      </c>
      <c r="J41" s="4">
        <v>37</v>
      </c>
      <c r="K41" s="4"/>
      <c r="L41" s="4"/>
      <c r="M41" s="4"/>
      <c r="N41" s="4"/>
      <c r="O41" s="4">
        <v>111296</v>
      </c>
      <c r="Q41" s="13">
        <f>O41*$Q$15</f>
        <v>6078.5856124119919</v>
      </c>
      <c r="R41" s="14"/>
      <c r="S41" s="1">
        <f>H41*24+I41+J41/60+K41/3600</f>
        <v>878.61666666666667</v>
      </c>
      <c r="T41" s="15">
        <f>Q15+(Q16-Q15)*(S41-S15)/(S16-S15)</f>
        <v>6.5884086637390052E-2</v>
      </c>
      <c r="U41" s="16">
        <f>O41*T41</f>
        <v>7332.6353063949637</v>
      </c>
    </row>
    <row r="42" spans="1:24">
      <c r="A42" s="17"/>
      <c r="C42" s="18">
        <v>24</v>
      </c>
      <c r="D42" s="12"/>
      <c r="E42" s="12"/>
      <c r="F42" s="4">
        <v>2013</v>
      </c>
      <c r="G42" s="4">
        <v>8</v>
      </c>
      <c r="H42" s="4">
        <v>36</v>
      </c>
      <c r="I42" s="4">
        <v>14</v>
      </c>
      <c r="J42" s="4">
        <v>39</v>
      </c>
      <c r="K42" s="4"/>
      <c r="L42" s="4"/>
      <c r="M42" s="4"/>
      <c r="N42" s="4"/>
      <c r="O42" s="47">
        <v>87062</v>
      </c>
      <c r="Q42" s="13">
        <f>O42*$Q$15</f>
        <v>4755.0120452470246</v>
      </c>
      <c r="R42" s="14"/>
      <c r="S42" s="1">
        <f>H42*24+I42+J42/60+K42/3600</f>
        <v>878.65</v>
      </c>
      <c r="T42" s="15">
        <f>Q15+(Q16-Q15)*(S42-S15)/(S16-S15)</f>
        <v>6.5999357203085224E-2</v>
      </c>
      <c r="U42" s="16">
        <f>O42*T42</f>
        <v>5746.0360368150059</v>
      </c>
      <c r="X42" t="s">
        <v>95</v>
      </c>
    </row>
    <row r="43" spans="1:24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36</v>
      </c>
      <c r="I43" s="4">
        <v>14</v>
      </c>
      <c r="J43" s="4">
        <v>41</v>
      </c>
      <c r="K43" s="4"/>
      <c r="L43" s="4"/>
      <c r="M43" s="4"/>
      <c r="N43" s="4"/>
      <c r="O43" s="4">
        <v>159718</v>
      </c>
      <c r="Q43" s="13">
        <f>O43*$Q$15</f>
        <v>8723.2203928552553</v>
      </c>
      <c r="R43" s="14"/>
      <c r="S43" s="1">
        <f>H43*24+I43+J43/60+K43/3600</f>
        <v>878.68333333333328</v>
      </c>
      <c r="T43" s="15">
        <f>Q15+(Q16-Q15)*(S43-S15)/(S16-S15)</f>
        <v>6.6114627768780382E-2</v>
      </c>
      <c r="U43" s="16">
        <f>O43*T43</f>
        <v>10559.696117974065</v>
      </c>
    </row>
    <row r="44" spans="1:24">
      <c r="A44" s="11"/>
      <c r="C44">
        <v>26</v>
      </c>
      <c r="D44" s="12"/>
      <c r="E44" s="12"/>
      <c r="F44" s="4">
        <v>2013</v>
      </c>
      <c r="G44" s="4">
        <v>8</v>
      </c>
      <c r="H44" s="4">
        <v>36</v>
      </c>
      <c r="I44" s="4">
        <v>14</v>
      </c>
      <c r="J44" s="4">
        <v>42</v>
      </c>
      <c r="K44" s="4"/>
      <c r="L44" s="4"/>
      <c r="M44" s="4"/>
      <c r="N44" s="4"/>
      <c r="O44" s="4">
        <v>104819</v>
      </c>
      <c r="Q44" s="13">
        <f>O44*$Q$15</f>
        <v>5724.8352618909266</v>
      </c>
      <c r="R44" s="14"/>
      <c r="S44" s="1">
        <f>H44*24+I44+J44/60+K44/3600</f>
        <v>878.7</v>
      </c>
      <c r="T44" s="15">
        <f>Q15+(Q16-Q15)*(S44-S15)/(S16-S15)</f>
        <v>6.6172263051628363E-2</v>
      </c>
      <c r="U44" s="16">
        <f>O44*T44</f>
        <v>6936.110440808633</v>
      </c>
    </row>
    <row r="45" spans="1:24">
      <c r="A45" s="17"/>
      <c r="C45" s="18">
        <v>27</v>
      </c>
      <c r="D45" s="12"/>
      <c r="E45" s="12"/>
      <c r="F45" s="4">
        <v>2013</v>
      </c>
      <c r="G45" s="4">
        <v>8</v>
      </c>
      <c r="H45" s="4">
        <v>36</v>
      </c>
      <c r="I45" s="4">
        <v>14</v>
      </c>
      <c r="J45" s="4">
        <v>44</v>
      </c>
      <c r="K45" s="4"/>
      <c r="L45" s="4"/>
      <c r="M45" s="4"/>
      <c r="N45" s="4"/>
      <c r="O45" s="4">
        <v>192170</v>
      </c>
      <c r="Q45" s="13">
        <f>O45*$Q$15</f>
        <v>10495.631443512908</v>
      </c>
      <c r="R45" s="14"/>
      <c r="S45" s="1">
        <f>H45*24+I45+J45/60+K45/3600</f>
        <v>878.73333333333335</v>
      </c>
      <c r="T45" s="15">
        <f>Q15+(Q16-Q15)*(S45-S15)/(S16-S15)</f>
        <v>6.6287533617323535E-2</v>
      </c>
      <c r="U45" s="16">
        <f>O45*T45</f>
        <v>12738.475335241064</v>
      </c>
    </row>
    <row r="46" spans="1:24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36</v>
      </c>
      <c r="I46" s="4">
        <v>14</v>
      </c>
      <c r="J46" s="4">
        <v>46</v>
      </c>
      <c r="K46" s="4"/>
      <c r="L46" s="4"/>
      <c r="M46" s="4"/>
      <c r="N46" s="4"/>
      <c r="O46" s="4">
        <v>361005</v>
      </c>
      <c r="Q46" s="13">
        <f>O46*$Q$15</f>
        <v>19716.789453428617</v>
      </c>
      <c r="R46" s="14"/>
      <c r="S46" s="1">
        <f>H46*24+I46+J46/60+K46/3600</f>
        <v>878.76666666666665</v>
      </c>
      <c r="T46" s="15">
        <f>Q15+(Q16-Q15)*(S46-S15)/(S16-S15)</f>
        <v>6.6402804183018693E-2</v>
      </c>
      <c r="U46" s="16">
        <f>O46*T46</f>
        <v>23971.744324090665</v>
      </c>
    </row>
    <row r="47" spans="1:24">
      <c r="A47" s="17"/>
      <c r="C47">
        <v>29</v>
      </c>
      <c r="D47" s="12"/>
      <c r="E47" s="12"/>
      <c r="F47" s="4">
        <v>2013</v>
      </c>
      <c r="G47" s="4">
        <v>8</v>
      </c>
      <c r="H47" s="4">
        <v>36</v>
      </c>
      <c r="I47" s="4">
        <v>14</v>
      </c>
      <c r="J47" s="4">
        <v>47</v>
      </c>
      <c r="K47" s="4"/>
      <c r="L47" s="4"/>
      <c r="M47" s="4"/>
      <c r="N47" s="4"/>
      <c r="O47" s="4">
        <v>310893</v>
      </c>
      <c r="Q47" s="13">
        <f>O47*$Q$15</f>
        <v>16979.852975844609</v>
      </c>
      <c r="R47" s="14"/>
      <c r="S47" s="1">
        <f>H47*24+I47+J47/60+K47/3600</f>
        <v>878.7833333333333</v>
      </c>
      <c r="T47" s="15">
        <f>Q15+(Q16-Q15)*(S47-S15)/(S16-S15)</f>
        <v>6.6460439465866286E-2</v>
      </c>
      <c r="U47" s="16">
        <f>O47*T47</f>
        <v>20662.085406861566</v>
      </c>
    </row>
    <row r="48" spans="1:24">
      <c r="A48" s="17"/>
      <c r="C48" s="18">
        <v>30</v>
      </c>
      <c r="D48" s="12"/>
      <c r="E48" s="12"/>
      <c r="F48" s="4">
        <v>2013</v>
      </c>
      <c r="G48" s="4">
        <v>8</v>
      </c>
      <c r="H48" s="4">
        <v>36</v>
      </c>
      <c r="I48" s="4">
        <v>14</v>
      </c>
      <c r="J48" s="4">
        <v>48</v>
      </c>
      <c r="K48" s="4"/>
      <c r="L48" s="4"/>
      <c r="M48" s="4"/>
      <c r="N48" s="4"/>
      <c r="O48" s="4">
        <v>254930</v>
      </c>
      <c r="Q48" s="13">
        <f>O48*$Q$15</f>
        <v>13923.3560071538</v>
      </c>
      <c r="R48" s="14"/>
      <c r="S48" s="1">
        <f>H48*24+I48+J48/60+K48/3600</f>
        <v>878.8</v>
      </c>
      <c r="T48" s="15">
        <f>Q15+(Q16-Q15)*(S48-S15)/(S16-S15)</f>
        <v>6.6518074748713865E-2</v>
      </c>
      <c r="U48" s="16">
        <f>O48*T48</f>
        <v>16957.452795689627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36</v>
      </c>
      <c r="I49" s="4">
        <v>14</v>
      </c>
      <c r="J49" s="4">
        <v>50</v>
      </c>
      <c r="K49" s="4"/>
      <c r="L49" s="4"/>
      <c r="M49" s="4"/>
      <c r="N49" s="4"/>
      <c r="O49" s="4">
        <v>235303</v>
      </c>
      <c r="Q49" s="13">
        <f>O49*$Q$15</f>
        <v>12851.40014337783</v>
      </c>
      <c r="R49" s="14"/>
      <c r="S49" s="1">
        <f>H49*24+I49+J49/60+K49/3600</f>
        <v>878.83333333333337</v>
      </c>
      <c r="T49" s="15">
        <f>Q15+(Q16-Q15)*(S49-S15)/(S16-S15)</f>
        <v>6.6633345314409426E-2</v>
      </c>
      <c r="U49" s="16">
        <f>O49*T49</f>
        <v>15679.026052516481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36</v>
      </c>
      <c r="I50" s="4">
        <v>14</v>
      </c>
      <c r="J50" s="4">
        <v>52</v>
      </c>
      <c r="K50" s="4"/>
      <c r="L50" s="4"/>
      <c r="M50" s="4"/>
      <c r="N50" s="4"/>
      <c r="O50" s="4">
        <v>272771</v>
      </c>
      <c r="Q50" s="13">
        <f>O50*$Q$15</f>
        <v>14897.767000460319</v>
      </c>
      <c r="R50" s="14"/>
      <c r="S50" s="1">
        <f>H50*24+I50+J50/60+K50/3600</f>
        <v>878.86666666666667</v>
      </c>
      <c r="T50" s="15">
        <f>Q15+(Q16-Q15)*(S50-S15)/(S16-S15)</f>
        <v>6.6748615880104598E-2</v>
      </c>
      <c r="U50" s="16">
        <f>O50*T50</f>
        <v>18207.086702232013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36</v>
      </c>
      <c r="I51" s="4">
        <v>14</v>
      </c>
      <c r="J51" s="4">
        <v>54</v>
      </c>
      <c r="K51" s="4"/>
      <c r="L51" s="4"/>
      <c r="M51" s="4"/>
      <c r="N51" s="4"/>
      <c r="O51" s="4">
        <v>343691</v>
      </c>
      <c r="Q51" s="13">
        <f>O51*$Q$15</f>
        <v>18771.161297041133</v>
      </c>
      <c r="R51" s="14"/>
      <c r="S51" s="1">
        <f>H51*24+I51+J51/60+K51/3600</f>
        <v>878.9</v>
      </c>
      <c r="T51" s="15">
        <f>Q15+(Q16-Q15)*(S51-S15)/(S16-S15)</f>
        <v>6.6863886445799769E-2</v>
      </c>
      <c r="U51" s="16">
        <f>O51*T51</f>
        <v>22980.51599644337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36</v>
      </c>
      <c r="I52" s="4">
        <v>14</v>
      </c>
      <c r="J52" s="4">
        <v>55</v>
      </c>
      <c r="K52" s="4"/>
      <c r="L52" s="4"/>
      <c r="M52" s="4"/>
      <c r="N52" s="4"/>
      <c r="O52" s="4">
        <v>70515</v>
      </c>
      <c r="Q52" s="13">
        <f>O52*$Q$15</f>
        <v>3851.2746591003415</v>
      </c>
      <c r="R52" s="14"/>
      <c r="S52" s="1">
        <f>H52*24+I52+J52/60+K52/3600</f>
        <v>878.91666666666663</v>
      </c>
      <c r="T52" s="15">
        <f>Q15+(Q16-Q15)*(S52-S15)/(S16-S15)</f>
        <v>6.6921521728647362E-2</v>
      </c>
      <c r="U52" s="16">
        <f>O52*T52</f>
        <v>4718.971104695569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36</v>
      </c>
      <c r="I53" s="4">
        <v>14</v>
      </c>
      <c r="J53" s="4">
        <v>57</v>
      </c>
      <c r="K53" s="4"/>
      <c r="L53" s="4"/>
      <c r="M53" s="4"/>
      <c r="N53" s="4"/>
      <c r="O53" s="4">
        <v>115856</v>
      </c>
      <c r="Q53" s="13">
        <f>O53*$Q$15</f>
        <v>6327.6363455254796</v>
      </c>
      <c r="R53" s="14"/>
      <c r="S53" s="1">
        <f>H53*24+I53+J53/60+K53/3600</f>
        <v>878.95</v>
      </c>
      <c r="T53" s="15">
        <f>Q15+(Q16-Q15)*(S53-S15)/(S16-S15)</f>
        <v>6.7036792294342923E-2</v>
      </c>
      <c r="U53" s="16">
        <f>O53*T53</f>
        <v>7766.6146080533936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36</v>
      </c>
      <c r="I54" s="4">
        <v>14</v>
      </c>
      <c r="J54" s="4">
        <v>59</v>
      </c>
      <c r="K54" s="4"/>
      <c r="L54" s="4"/>
      <c r="M54" s="4"/>
      <c r="N54" s="4"/>
      <c r="O54" s="4">
        <v>109768</v>
      </c>
      <c r="Q54" s="13">
        <f>O54*$Q$15</f>
        <v>5995.1317702634378</v>
      </c>
      <c r="R54" s="14"/>
      <c r="S54" s="1">
        <f>H54*24+I54+J54/60+K54/3600</f>
        <v>878.98333333333335</v>
      </c>
      <c r="T54" s="15">
        <f>Q15+(Q16-Q15)*(S54-S15)/(S16-S15)</f>
        <v>6.7152062860038081E-2</v>
      </c>
      <c r="U54" s="16">
        <f>O54*T54</f>
        <v>7371.1476360206598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36</v>
      </c>
      <c r="I55" s="4">
        <v>15</v>
      </c>
      <c r="J55" s="4">
        <v>0</v>
      </c>
      <c r="K55" s="4"/>
      <c r="L55" s="4"/>
      <c r="M55" s="4"/>
      <c r="N55" s="4"/>
      <c r="O55" s="4">
        <v>68358</v>
      </c>
      <c r="Q55" s="13">
        <f>O55*$Q$15</f>
        <v>3733.4671083710014</v>
      </c>
      <c r="R55" s="14"/>
      <c r="S55" s="1">
        <f>H55*24+I55+J55/60+K55/3600</f>
        <v>879</v>
      </c>
      <c r="T55" s="15">
        <f>Q15+(Q16-Q15)*(S55-S15)/(S16-S15)</f>
        <v>6.7209698142885674E-2</v>
      </c>
      <c r="U55" s="16">
        <f>O55*T55</f>
        <v>4594.3205456513788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36</v>
      </c>
      <c r="I56" s="4">
        <v>15</v>
      </c>
      <c r="J56" s="4">
        <v>2</v>
      </c>
      <c r="K56" s="4"/>
      <c r="L56" s="4"/>
      <c r="M56" s="4"/>
      <c r="N56" s="4"/>
      <c r="O56" s="4">
        <v>109197</v>
      </c>
      <c r="Q56" s="13">
        <f>O56*$Q$15</f>
        <v>5963.9458122354108</v>
      </c>
      <c r="R56" s="14"/>
      <c r="S56" s="1">
        <f>H56*24+I56+J56/60+K56/3600</f>
        <v>879.0333333333333</v>
      </c>
      <c r="T56" s="15">
        <f>Q15+(Q16-Q15)*(S56-S15)/(S16-S15)</f>
        <v>6.7324968708580846E-2</v>
      </c>
      <c r="U56" s="16">
        <f>O56*T56</f>
        <v>7351.6846080709029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36</v>
      </c>
      <c r="I57" s="4">
        <v>15</v>
      </c>
      <c r="J57" s="4">
        <v>3</v>
      </c>
      <c r="K57" s="4"/>
      <c r="L57" s="4"/>
      <c r="M57" s="4"/>
      <c r="N57" s="4"/>
      <c r="O57" s="4">
        <v>221818</v>
      </c>
      <c r="Q57" s="13">
        <f>O57*$Q$15</f>
        <v>12114.8981398613</v>
      </c>
      <c r="R57" s="14"/>
      <c r="S57" s="1">
        <f>H57*24+I57+J57/60+K57/3600</f>
        <v>879.05</v>
      </c>
      <c r="T57" s="15">
        <f>Q15+(Q16-Q15)*(S57-S15)/(S16-S15)</f>
        <v>6.7382603991428425E-2</v>
      </c>
      <c r="U57" s="16">
        <f>O57*T57</f>
        <v>14946.67445217067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36</v>
      </c>
      <c r="I58" s="4">
        <v>15</v>
      </c>
      <c r="J58" s="4">
        <v>5</v>
      </c>
      <c r="K58" s="4"/>
      <c r="L58" s="4"/>
      <c r="M58" s="4"/>
      <c r="N58" s="4"/>
      <c r="O58" s="4">
        <v>220224</v>
      </c>
      <c r="Q58" s="13">
        <f>O58*$Q$15</f>
        <v>12027.839616049261</v>
      </c>
      <c r="R58" s="14"/>
      <c r="S58" s="1">
        <f>H58*24+I58+J58/60+K58/3600</f>
        <v>879.08333333333337</v>
      </c>
      <c r="T58" s="15">
        <f>Q15+(Q16-Q15)*(S58-S15)/(S16-S15)</f>
        <v>6.7497874557123985E-2</v>
      </c>
      <c r="U58" s="16">
        <f>O58*T58</f>
        <v>14864.651926468072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36</v>
      </c>
      <c r="I59" s="4">
        <v>15</v>
      </c>
      <c r="J59" s="4">
        <v>6</v>
      </c>
      <c r="K59" s="4"/>
      <c r="L59" s="4"/>
      <c r="M59" s="4"/>
      <c r="N59" s="4"/>
      <c r="O59" s="4">
        <v>120891</v>
      </c>
      <c r="Q59" s="13">
        <f>O59*$Q$15</f>
        <v>6602.6298633382885</v>
      </c>
      <c r="R59" s="14"/>
      <c r="S59" s="1">
        <f>H59*24+I59+J59/60+K59/3600</f>
        <v>879.1</v>
      </c>
      <c r="T59" s="15">
        <f>Q15+(Q16-Q15)*(S59-S15)/(S16-S15)</f>
        <v>6.7555509839971578E-2</v>
      </c>
      <c r="U59" s="16">
        <f>O59*T59</f>
        <v>8166.853140064004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36</v>
      </c>
      <c r="I60" s="4">
        <v>15</v>
      </c>
      <c r="J60" s="4">
        <v>8</v>
      </c>
      <c r="K60" s="4"/>
      <c r="L60" s="4"/>
      <c r="M60" s="4"/>
      <c r="N60" s="4"/>
      <c r="O60" s="4">
        <v>484898</v>
      </c>
      <c r="Q60" s="13">
        <f>O60*$Q$15</f>
        <v>26483.377716066618</v>
      </c>
      <c r="R60" s="14"/>
      <c r="S60" s="1">
        <f>H60*24+I60+J60/60+K60/3600</f>
        <v>879.13333333333333</v>
      </c>
      <c r="T60" s="15">
        <f>Q15+(Q16-Q15)*(S60-S15)/(S16-S15)</f>
        <v>6.7670780405666736E-2</v>
      </c>
      <c r="U60" s="16">
        <f>O60*T60</f>
        <v>32813.426077146993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36</v>
      </c>
      <c r="I61" s="4">
        <v>11</v>
      </c>
      <c r="J61" s="4">
        <v>55</v>
      </c>
      <c r="K61" s="4"/>
      <c r="L61" s="4"/>
      <c r="M61" s="4"/>
      <c r="N61" s="4"/>
      <c r="O61" s="4">
        <v>86885</v>
      </c>
      <c r="Q61" s="13">
        <f>O61*$Q$15</f>
        <v>4745.3449444222251</v>
      </c>
      <c r="R61" s="14"/>
      <c r="S61" s="1">
        <f>H61*24+I61+J61/60+K61/3600</f>
        <v>875.91666666666663</v>
      </c>
      <c r="T61" s="15">
        <f>Q15+(Q16-Q15)*(S61-S15)/(S16-S15)</f>
        <v>5.6547170816072696E-2</v>
      </c>
      <c r="U61" s="16">
        <f>O61*T61</f>
        <v>4913.1009363544763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36</v>
      </c>
      <c r="I62" s="4">
        <v>11</v>
      </c>
      <c r="J62" s="4">
        <v>57</v>
      </c>
      <c r="K62" s="4"/>
      <c r="L62" s="4"/>
      <c r="M62" s="4"/>
      <c r="N62" s="4"/>
      <c r="O62" s="4">
        <v>126976</v>
      </c>
      <c r="Q62" s="13">
        <f>O62*$Q$15</f>
        <v>6934.9705894338085</v>
      </c>
      <c r="R62" s="14"/>
      <c r="S62" s="1">
        <f>H62*24+I62+J62/60+K62/3600</f>
        <v>875.95</v>
      </c>
      <c r="T62" s="15">
        <f>Q15+(Q16-Q15)*(S62-S15)/(S16-S15)</f>
        <v>5.6662441381768264E-2</v>
      </c>
      <c r="U62" s="16">
        <f>O62*T62</f>
        <v>7194.7701568914072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36</v>
      </c>
      <c r="I63" s="4">
        <v>11</v>
      </c>
      <c r="J63" s="4">
        <v>59</v>
      </c>
      <c r="K63" s="4"/>
      <c r="L63" s="4"/>
      <c r="M63" s="4"/>
      <c r="N63" s="4"/>
      <c r="O63" s="4">
        <v>81187</v>
      </c>
      <c r="Q63" s="13">
        <f>O63*$Q$15</f>
        <v>4434.1407608080472</v>
      </c>
      <c r="R63" s="14"/>
      <c r="S63" s="1">
        <f>H63*24+I63+J63/60+K63/3600</f>
        <v>875.98333333333335</v>
      </c>
      <c r="T63" s="15">
        <f>Q15+(Q16-Q15)*(S63-S15)/(S16-S15)</f>
        <v>5.6777711947463429E-2</v>
      </c>
      <c r="U63" s="16">
        <f>O63*T63</f>
        <v>4609.6120998787137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36</v>
      </c>
      <c r="I64" s="4">
        <v>12</v>
      </c>
      <c r="J64" s="4">
        <v>2</v>
      </c>
      <c r="K64" s="4"/>
      <c r="L64" s="4"/>
      <c r="M64" s="4"/>
      <c r="N64" s="4"/>
      <c r="O64" s="47">
        <v>15163</v>
      </c>
      <c r="Q64" s="13">
        <f>O64*$Q$15</f>
        <v>828.14830399118603</v>
      </c>
      <c r="R64" s="14"/>
      <c r="S64" s="1">
        <f>H64*24+I64+J64/60+K64/3600</f>
        <v>876.0333333333333</v>
      </c>
      <c r="T64" s="15">
        <f>Q15+(Q16-Q15)*(S64-S15)/(S16-S15)</f>
        <v>5.6950617796006187E-2</v>
      </c>
      <c r="U64" s="16">
        <f>O64*T64</f>
        <v>863.54221764084184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36</v>
      </c>
      <c r="I65" s="4">
        <v>12</v>
      </c>
      <c r="J65" s="4">
        <v>4</v>
      </c>
      <c r="K65" s="4"/>
      <c r="L65" s="4"/>
      <c r="M65" s="4"/>
      <c r="N65" s="4"/>
      <c r="O65" s="4">
        <v>100123</v>
      </c>
      <c r="Q65" s="13">
        <f>O65*$Q$15</f>
        <v>5468.3566998951073</v>
      </c>
      <c r="R65" s="14"/>
      <c r="S65" s="1">
        <f>H65*24+I65+J65/60+K65/3600</f>
        <v>876.06666666666672</v>
      </c>
      <c r="T65" s="15">
        <f>Q15+(Q16-Q15)*(S65-S15)/(S16-S15)</f>
        <v>5.7065888361701747E-2</v>
      </c>
      <c r="U65" s="16">
        <f>O65*T65</f>
        <v>5713.6079404386637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36</v>
      </c>
      <c r="I66" s="4">
        <v>12</v>
      </c>
      <c r="J66" s="4">
        <v>6</v>
      </c>
      <c r="K66" s="4"/>
      <c r="L66" s="4"/>
      <c r="M66" s="4"/>
      <c r="N66" s="4"/>
      <c r="O66" s="4">
        <v>54016</v>
      </c>
      <c r="Q66" s="13">
        <f>O66*$Q$15</f>
        <v>2950.1588596180113</v>
      </c>
      <c r="R66" s="14"/>
      <c r="S66" s="1">
        <f>H66*24+I66+J66/60+K66/3600</f>
        <v>876.1</v>
      </c>
      <c r="T66" s="15">
        <f>Q15+(Q16-Q15)*(S66-S15)/(S16-S15)</f>
        <v>5.7181158927396919E-2</v>
      </c>
      <c r="U66" s="16">
        <f>O66*T66</f>
        <v>3088.697480622272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36</v>
      </c>
      <c r="I67" s="4">
        <v>12</v>
      </c>
      <c r="J67" s="4">
        <v>8</v>
      </c>
      <c r="K67" s="4"/>
      <c r="L67" s="4"/>
      <c r="M67" s="4"/>
      <c r="N67" s="4"/>
      <c r="O67" s="4">
        <v>40482</v>
      </c>
      <c r="Q67" s="13">
        <f>O67*$Q$15</f>
        <v>2210.9806530482879</v>
      </c>
      <c r="R67" s="14"/>
      <c r="S67" s="1">
        <f>H67*24+I67+J67/60+K67/3600</f>
        <v>876.13333333333333</v>
      </c>
      <c r="T67" s="15">
        <f>Q15+(Q16-Q15)*(S67-S15)/(S16-S15)</f>
        <v>5.7296429493092084E-2</v>
      </c>
      <c r="U67" s="16">
        <f>O67*T67</f>
        <v>2319.4740587393539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36</v>
      </c>
      <c r="I68" s="4">
        <v>12</v>
      </c>
      <c r="J68" s="4">
        <v>10</v>
      </c>
      <c r="K68" s="4"/>
      <c r="L68" s="4"/>
      <c r="M68" s="4"/>
      <c r="N68" s="4"/>
      <c r="O68" s="4">
        <v>50330</v>
      </c>
      <c r="Q68" s="13">
        <f>O68*$Q$15</f>
        <v>2748.8428503512755</v>
      </c>
      <c r="R68" s="14"/>
      <c r="S68" s="1">
        <f>H68*24+I68+J68/60+K68/3600</f>
        <v>876.16666666666663</v>
      </c>
      <c r="T68" s="15">
        <f>Q15+(Q16-Q15)*(S68-S15)/(S16-S15)</f>
        <v>5.7411700058787256E-2</v>
      </c>
      <c r="U68" s="16">
        <f>O68*T68</f>
        <v>2889.5308639587624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36</v>
      </c>
      <c r="I69" s="4">
        <v>12</v>
      </c>
      <c r="J69" s="4">
        <v>12</v>
      </c>
      <c r="K69" s="4"/>
      <c r="L69" s="4"/>
      <c r="M69" s="4"/>
      <c r="N69" s="4"/>
      <c r="O69" s="4">
        <v>41597</v>
      </c>
      <c r="Q69" s="13">
        <f>O69*$Q$15</f>
        <v>2271.8779266056431</v>
      </c>
      <c r="R69" s="14"/>
      <c r="S69" s="1">
        <f>H69*24+I69+J69/60+K69/3600</f>
        <v>876.2</v>
      </c>
      <c r="T69" s="15">
        <f>Q15+(Q16-Q15)*(S69-S15)/(S16-S15)</f>
        <v>5.7526970624482816E-2</v>
      </c>
      <c r="U69" s="16">
        <f>O69*T69</f>
        <v>2392.9493970666117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36</v>
      </c>
      <c r="I70" s="4">
        <v>12</v>
      </c>
      <c r="J70" s="4">
        <v>14</v>
      </c>
      <c r="K70" s="4"/>
      <c r="L70" s="4"/>
      <c r="M70" s="4"/>
      <c r="N70" s="4"/>
      <c r="O70" s="4">
        <v>38795</v>
      </c>
      <c r="Q70" s="13">
        <f>O70*$Q$15</f>
        <v>2118.8428050740658</v>
      </c>
      <c r="R70" s="14"/>
      <c r="S70" s="1">
        <f>H70*24+I70+J70/60+K70/3600</f>
        <v>876.23333333333335</v>
      </c>
      <c r="T70" s="15">
        <f>Q15+(Q16-Q15)*(S70-S15)/(S16-S15)</f>
        <v>5.7642241190177988E-2</v>
      </c>
      <c r="U70" s="16">
        <f>O70*T70</f>
        <v>2236.2307469729549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36</v>
      </c>
      <c r="I71" s="4">
        <v>12</v>
      </c>
      <c r="J71" s="4">
        <v>16</v>
      </c>
      <c r="K71" s="4"/>
      <c r="L71" s="4"/>
      <c r="M71" s="4"/>
      <c r="N71" s="4"/>
      <c r="O71" s="4">
        <v>102621</v>
      </c>
      <c r="Q71" s="13">
        <f>O71*$Q$15</f>
        <v>5604.788439219119</v>
      </c>
      <c r="R71" s="14"/>
      <c r="S71" s="1">
        <f>H71*24+I71+J71/60+K71/3600</f>
        <v>876.26666666666665</v>
      </c>
      <c r="T71" s="15">
        <f>Q15+(Q16-Q15)*(S71-S15)/(S16-S15)</f>
        <v>5.7757511755873153E-2</v>
      </c>
      <c r="U71" s="16">
        <f>O71*T71</f>
        <v>5927.1336138994593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36</v>
      </c>
      <c r="I72" s="4">
        <v>12</v>
      </c>
      <c r="J72" s="4">
        <v>18</v>
      </c>
      <c r="K72" s="4"/>
      <c r="L72" s="4"/>
      <c r="M72" s="4"/>
      <c r="N72" s="4"/>
      <c r="O72" s="4">
        <v>87546</v>
      </c>
      <c r="Q72" s="13">
        <f>O72*$Q$15</f>
        <v>4781.4463774459127</v>
      </c>
      <c r="R72" s="14"/>
      <c r="S72" s="1">
        <f>H72*24+I72+J72/60+K72/3600</f>
        <v>876.3</v>
      </c>
      <c r="T72" s="15">
        <f>Q15+(Q16-Q15)*(S72-S15)/(S16-S15)</f>
        <v>5.7872782321568325E-2</v>
      </c>
      <c r="U72" s="16">
        <f>O72*T72</f>
        <v>5066.5306011240209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36</v>
      </c>
      <c r="I73" s="4">
        <v>12</v>
      </c>
      <c r="J73" s="29">
        <v>21</v>
      </c>
      <c r="K73" s="29"/>
      <c r="L73" s="29"/>
      <c r="M73" s="29"/>
      <c r="N73" s="29"/>
      <c r="O73" s="29">
        <v>81152</v>
      </c>
      <c r="P73" s="2"/>
      <c r="Q73" s="30">
        <f>O73*$Q$15</f>
        <v>4432.2291871986235</v>
      </c>
      <c r="R73" s="31"/>
      <c r="S73" s="2">
        <f>H73*24+I73+J73/60+K73/3600</f>
        <v>876.35</v>
      </c>
      <c r="T73" s="32">
        <f>Q15+(Q16-Q15)*(S73-S15)/(S16-S15)</f>
        <v>5.8045688170111472E-2</v>
      </c>
      <c r="U73" s="33">
        <f>O73*T73</f>
        <v>4710.5236863808859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36</v>
      </c>
      <c r="I74" s="4">
        <v>12</v>
      </c>
      <c r="J74" s="4">
        <v>24</v>
      </c>
      <c r="K74" s="4"/>
      <c r="L74" s="4"/>
      <c r="M74" s="4"/>
      <c r="N74" s="4"/>
      <c r="O74" s="4">
        <v>147570</v>
      </c>
      <c r="Q74" s="13">
        <f>O74*$Q$15</f>
        <v>8059.740501218711</v>
      </c>
      <c r="R74" s="14"/>
      <c r="S74" s="1">
        <f>H74*24+I74+J74/60+K74/3600</f>
        <v>876.4</v>
      </c>
      <c r="T74" s="15">
        <f>Q15+(Q16-Q15)*(S74-S15)/(S16-S15)</f>
        <v>5.8218594018654223E-2</v>
      </c>
      <c r="U74" s="16">
        <f>O74*T74</f>
        <v>8591.3179193328033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36</v>
      </c>
      <c r="I75" s="4">
        <v>12</v>
      </c>
      <c r="J75" s="4">
        <v>34</v>
      </c>
      <c r="K75" s="4"/>
      <c r="L75" s="4"/>
      <c r="M75" s="4"/>
      <c r="N75" s="4"/>
      <c r="O75" s="4">
        <v>318560</v>
      </c>
      <c r="Q75" s="13">
        <f>O75*$Q$15</f>
        <v>17398.59682908608</v>
      </c>
      <c r="R75" s="14"/>
      <c r="S75" s="1">
        <f>H75*24+I75+J75/60+K75/3600</f>
        <v>876.56666666666672</v>
      </c>
      <c r="T75" s="15">
        <f>Q15+(Q16-Q15)*(S75-S15)/(S16-S15)</f>
        <v>5.8794946847130859E-2</v>
      </c>
      <c r="U75" s="16">
        <f>O75*T75</f>
        <v>18729.718267622007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36</v>
      </c>
      <c r="I76" s="4">
        <v>12</v>
      </c>
      <c r="J76" s="4">
        <v>36</v>
      </c>
      <c r="K76" s="4"/>
      <c r="L76" s="4"/>
      <c r="M76" s="4"/>
      <c r="N76" s="4"/>
      <c r="O76" s="4">
        <v>339234</v>
      </c>
      <c r="Q76" s="13">
        <f>O76*$Q$15</f>
        <v>18527.736051978238</v>
      </c>
      <c r="R76" s="14"/>
      <c r="S76" s="1">
        <f>H76*24+I76+J76/60+K76/3600</f>
        <v>876.6</v>
      </c>
      <c r="T76" s="15">
        <f>Q15+(Q16-Q15)*(S76-S15)/(S16-S15)</f>
        <v>5.8910217412826024E-2</v>
      </c>
      <c r="U76" s="16">
        <f>O76*T76</f>
        <v>19984.348693822623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36</v>
      </c>
      <c r="I77" s="4">
        <v>12</v>
      </c>
      <c r="J77" s="4">
        <v>38</v>
      </c>
      <c r="K77" s="4"/>
      <c r="L77" s="4"/>
      <c r="M77" s="4"/>
      <c r="N77" s="4"/>
      <c r="O77" s="4">
        <v>360342</v>
      </c>
      <c r="Q77" s="13">
        <f>O77*$Q$15</f>
        <v>19680.578787627248</v>
      </c>
      <c r="R77" s="14"/>
      <c r="S77" s="1">
        <f>H77*24+I77+J77/60+K77/3600</f>
        <v>876.63333333333333</v>
      </c>
      <c r="T77" s="15">
        <f>Q15+(Q16-Q15)*(S77-S15)/(S16-S15)</f>
        <v>5.9025487978521196E-2</v>
      </c>
      <c r="U77" s="16">
        <f>O77*T77</f>
        <v>21269.362389156286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36</v>
      </c>
      <c r="I78" s="4">
        <v>12</v>
      </c>
      <c r="J78" s="4">
        <v>41</v>
      </c>
      <c r="K78" s="4"/>
      <c r="L78" s="4"/>
      <c r="M78" s="4"/>
      <c r="N78" s="4"/>
      <c r="O78" s="4">
        <v>346803</v>
      </c>
      <c r="Q78" s="13">
        <f>O78*$Q$15</f>
        <v>18941.127499113321</v>
      </c>
      <c r="R78" s="14"/>
      <c r="S78" s="1">
        <f>H78*24+I78+J78/60+K78/3600</f>
        <v>876.68333333333328</v>
      </c>
      <c r="T78" s="15">
        <f>Q15+(Q16-Q15)*(S78-S15)/(S16-S15)</f>
        <v>5.9198393827063947E-2</v>
      </c>
      <c r="U78" s="16">
        <f>O78*T78</f>
        <v>20530.180574407259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36</v>
      </c>
      <c r="I79" s="4">
        <v>12</v>
      </c>
      <c r="J79" s="4">
        <v>44</v>
      </c>
      <c r="K79" s="4"/>
      <c r="L79" s="4"/>
      <c r="M79" s="4"/>
      <c r="N79" s="4"/>
      <c r="O79" s="4">
        <v>461317</v>
      </c>
      <c r="Q79" s="13">
        <f>O79*$Q$15</f>
        <v>25195.468650814611</v>
      </c>
      <c r="R79" s="14"/>
      <c r="S79" s="1">
        <f>H79*24+I79+J79/60+K79/3600</f>
        <v>876.73333333333335</v>
      </c>
      <c r="T79" s="15">
        <f>Q15+(Q16-Q15)*(S79-S15)/(S16-S15)</f>
        <v>5.9371299675607093E-2</v>
      </c>
      <c r="U79" s="16">
        <f>O79*T79</f>
        <v>27388.989852452036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36</v>
      </c>
      <c r="I80" s="4">
        <v>12</v>
      </c>
      <c r="J80" s="4">
        <v>45</v>
      </c>
      <c r="K80" s="4"/>
      <c r="L80" s="4"/>
      <c r="M80" s="4"/>
      <c r="N80" s="4"/>
      <c r="O80" s="4">
        <v>316512</v>
      </c>
      <c r="Q80" s="13">
        <f>O80*$Q$15</f>
        <v>17286.742464740371</v>
      </c>
      <c r="R80" s="14"/>
      <c r="S80" s="1">
        <f>H80*24+I80+J80/60+K80/3600</f>
        <v>876.75</v>
      </c>
      <c r="T80" s="15">
        <f>Q15+(Q16-Q15)*(S80-S15)/(S16-S15)</f>
        <v>5.9428934958454679E-2</v>
      </c>
      <c r="U80" s="16">
        <f>O80*T80</f>
        <v>18809.971061570406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36</v>
      </c>
      <c r="I81" s="4">
        <v>12</v>
      </c>
      <c r="J81" s="4">
        <v>47</v>
      </c>
      <c r="K81" s="4"/>
      <c r="L81" s="4"/>
      <c r="M81" s="4"/>
      <c r="N81" s="4"/>
      <c r="O81" s="4">
        <v>234288</v>
      </c>
      <c r="Q81" s="13">
        <f>O81*$Q$15</f>
        <v>12795.964508704543</v>
      </c>
      <c r="R81" s="14"/>
      <c r="S81" s="1">
        <f>H81*24+I81+J81/60+K81/3600</f>
        <v>876.7833333333333</v>
      </c>
      <c r="T81" s="15">
        <f>Q15+(Q16-Q15)*(S81-S15)/(S16-S15)</f>
        <v>5.9544205524149851E-2</v>
      </c>
      <c r="U81" s="33">
        <f>O81*T81</f>
        <v>13950.49282384202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36</v>
      </c>
      <c r="I82" s="4">
        <v>12</v>
      </c>
      <c r="J82" s="4">
        <v>49</v>
      </c>
      <c r="K82" s="4"/>
      <c r="L82" s="4"/>
      <c r="M82" s="4"/>
      <c r="N82" s="4"/>
      <c r="O82" s="4">
        <v>193357</v>
      </c>
      <c r="Q82" s="13">
        <f>O82*$Q$15</f>
        <v>10560.461097066791</v>
      </c>
      <c r="R82" s="14"/>
      <c r="S82" s="1">
        <f>H82*24+I82+J82/60+K82/3600</f>
        <v>876.81666666666672</v>
      </c>
      <c r="T82" s="15">
        <f>Q15+(Q16-Q15)*(S82-S15)/(S16-S15)</f>
        <v>5.9659476089845412E-2</v>
      </c>
      <c r="U82" s="16">
        <f>O82*T82</f>
        <v>11535.57731830424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36</v>
      </c>
      <c r="I83" s="4">
        <v>12</v>
      </c>
      <c r="J83" s="4">
        <v>51</v>
      </c>
      <c r="K83" s="4"/>
      <c r="L83" s="4"/>
      <c r="M83" s="4"/>
      <c r="N83" s="4"/>
      <c r="O83" s="4">
        <v>222979</v>
      </c>
      <c r="Q83" s="13">
        <f>O83*$Q$15</f>
        <v>12178.307767305327</v>
      </c>
      <c r="R83" s="14"/>
      <c r="S83" s="1">
        <f>H83*24+I83+J83/60+K83/3600</f>
        <v>876.85</v>
      </c>
      <c r="T83" s="15">
        <f>Q15+(Q16-Q15)*(S83-S15)/(S16-S15)</f>
        <v>5.9774746655540577E-2</v>
      </c>
      <c r="U83" s="16">
        <f>O83*T83</f>
        <v>13328.513234505783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36</v>
      </c>
      <c r="I84" s="4">
        <v>12</v>
      </c>
      <c r="J84" s="4">
        <v>54</v>
      </c>
      <c r="K84" s="4"/>
      <c r="L84" s="4"/>
      <c r="M84" s="4"/>
      <c r="N84" s="4"/>
      <c r="O84" s="4">
        <v>234518</v>
      </c>
      <c r="Q84" s="13">
        <f>O84*$Q$15</f>
        <v>12808.526278137899</v>
      </c>
      <c r="R84" s="14"/>
      <c r="S84" s="1">
        <f>H84*24+I84+J84/60+K84/3600</f>
        <v>876.9</v>
      </c>
      <c r="T84" s="15">
        <f>Q15+(Q16-Q15)*(S84-S15)/(S16-S15)</f>
        <v>5.9947652504083335E-2</v>
      </c>
      <c r="U84" s="16">
        <f>O84*T84</f>
        <v>14058.803569952615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36</v>
      </c>
      <c r="I85" s="4">
        <v>12</v>
      </c>
      <c r="J85" s="4">
        <v>55</v>
      </c>
      <c r="K85" s="4"/>
      <c r="L85" s="4"/>
      <c r="M85" s="4"/>
      <c r="N85" s="4"/>
      <c r="O85" s="4">
        <v>369293</v>
      </c>
      <c r="Q85" s="13">
        <f>O85*$Q$15</f>
        <v>20169.450084140146</v>
      </c>
      <c r="R85" s="14"/>
      <c r="S85" s="1">
        <f>H85*24+I85+J85/60+K85/3600</f>
        <v>876.91666666666663</v>
      </c>
      <c r="T85" s="15">
        <f>Q$15+(Q$16-Q$15)*(S85-S$15)/(S$16-S$15)</f>
        <v>6.0005287786930921E-2</v>
      </c>
      <c r="U85" s="16">
        <f>O85*T85</f>
        <v>22159.532742699081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36</v>
      </c>
      <c r="I86" s="4">
        <v>12</v>
      </c>
      <c r="J86" s="4">
        <v>58</v>
      </c>
      <c r="K86" s="4"/>
      <c r="L86" s="4"/>
      <c r="M86" s="4"/>
      <c r="N86" s="4"/>
      <c r="O86" s="4">
        <v>303069</v>
      </c>
      <c r="Q86" s="13">
        <f>O86*$Q$15</f>
        <v>16552.53434955515</v>
      </c>
      <c r="R86" s="14"/>
      <c r="S86" s="1">
        <f>H86*24+I86+J86/60+K86/3600</f>
        <v>876.9666666666667</v>
      </c>
      <c r="T86" s="15">
        <f>Q$15+(Q$16-Q$15)*(S86-S$15)/(S$16-S$15)</f>
        <v>6.0178193635474067E-2</v>
      </c>
      <c r="U86" s="16">
        <f>O86*T86</f>
        <v>18238.144966909491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36</v>
      </c>
      <c r="I87" s="4">
        <v>13</v>
      </c>
      <c r="J87" s="29">
        <v>3</v>
      </c>
      <c r="K87" s="29"/>
      <c r="L87" s="29"/>
      <c r="M87" s="29"/>
      <c r="N87" s="29"/>
      <c r="O87" s="29">
        <v>314587</v>
      </c>
      <c r="P87" s="2"/>
      <c r="Q87" s="30">
        <f>O87*$Q$15</f>
        <v>17181.60591622207</v>
      </c>
      <c r="R87" s="31"/>
      <c r="S87" s="2">
        <f>H87*24+I87+J87/60+K87/3600</f>
        <v>877.05</v>
      </c>
      <c r="T87" s="15">
        <f>Q$15+(Q$16-Q$15)*(S87-S$15)/(S$16-S$15)</f>
        <v>6.046637004971199E-2</v>
      </c>
      <c r="U87" s="16">
        <f>O87*T87</f>
        <v>19021.933954828746</v>
      </c>
    </row>
    <row r="88" spans="1:21" ht="15.75">
      <c r="C88" s="18">
        <v>70</v>
      </c>
      <c r="F88" s="4">
        <v>2013</v>
      </c>
      <c r="G88" s="4">
        <v>8</v>
      </c>
      <c r="H88" s="4">
        <v>36</v>
      </c>
      <c r="I88" s="4">
        <v>13</v>
      </c>
      <c r="J88" s="1">
        <v>4</v>
      </c>
      <c r="O88" s="29">
        <v>661463</v>
      </c>
      <c r="Q88" s="34">
        <f>O88*$Q$15</f>
        <v>36126.720411720758</v>
      </c>
      <c r="S88" s="1">
        <f>H88*24+I88+J88/60+K88/3600</f>
        <v>877.06666666666672</v>
      </c>
      <c r="T88" s="15">
        <f>Q$15+(Q$16-Q$15)*(S88-S$15)/(S$16-S$15)</f>
        <v>6.0524005332559964E-2</v>
      </c>
      <c r="U88" s="16">
        <f>O88*T88</f>
        <v>40034.390139291114</v>
      </c>
    </row>
    <row r="89" spans="1:21" ht="15.75">
      <c r="C89">
        <v>71</v>
      </c>
      <c r="F89" s="4">
        <v>2013</v>
      </c>
      <c r="G89" s="4">
        <v>8</v>
      </c>
      <c r="H89" s="4">
        <v>36</v>
      </c>
      <c r="I89" s="4">
        <v>13</v>
      </c>
      <c r="J89" s="1">
        <v>13</v>
      </c>
      <c r="O89" s="1">
        <v>343898</v>
      </c>
      <c r="Q89" s="34">
        <f>O89*$Q$15</f>
        <v>18782.466889531155</v>
      </c>
      <c r="S89" s="1">
        <f>H89*24+I89+J89/60+K89/3600</f>
        <v>877.2166666666667</v>
      </c>
      <c r="T89" s="15">
        <f>Q$15+(Q$16-Q$15)*(S89-S$15)/(S$16-S$15)</f>
        <v>6.104272287818862E-2</v>
      </c>
      <c r="U89" s="33">
        <f>O89*T89</f>
        <v>20992.470312363312</v>
      </c>
    </row>
    <row r="90" spans="1:21">
      <c r="C90" s="18">
        <v>72</v>
      </c>
      <c r="F90" s="4">
        <v>2013</v>
      </c>
      <c r="G90" s="4">
        <v>8</v>
      </c>
      <c r="H90" s="4">
        <v>36</v>
      </c>
      <c r="I90" s="4">
        <v>13</v>
      </c>
      <c r="J90" s="1">
        <v>16</v>
      </c>
      <c r="O90" s="1">
        <v>377923</v>
      </c>
      <c r="Q90" s="34">
        <f>O90*$Q$15</f>
        <v>20640.789519835191</v>
      </c>
      <c r="S90" s="1">
        <f>H90*24+I90+J90/60+K90/3600</f>
        <v>877.26666666666665</v>
      </c>
      <c r="T90" s="15">
        <f>Q$15+(Q$16-Q$15)*(S90-S$15)/(S$16-S$15)</f>
        <v>6.1215628726731371E-2</v>
      </c>
      <c r="U90" s="16">
        <f>O90*T90</f>
        <v>23134.794055292499</v>
      </c>
    </row>
    <row r="91" spans="1:21">
      <c r="C91" s="18">
        <v>73</v>
      </c>
      <c r="F91" s="4">
        <v>2013</v>
      </c>
      <c r="G91" s="4">
        <v>8</v>
      </c>
      <c r="H91" s="4">
        <v>36</v>
      </c>
      <c r="I91" s="4">
        <v>13</v>
      </c>
      <c r="J91" s="1">
        <v>19</v>
      </c>
      <c r="O91" s="1">
        <v>200525</v>
      </c>
      <c r="Q91" s="34">
        <f>O91*$Q$15</f>
        <v>10951.951372276764</v>
      </c>
      <c r="S91" s="1">
        <f>H91*24+I91+J91/60+K91/3600</f>
        <v>877.31666666666672</v>
      </c>
      <c r="T91" s="15">
        <f>Q$15+(Q$16-Q$15)*(S91-S$15)/(S$16-S$15)</f>
        <v>6.1388534575274517E-2</v>
      </c>
      <c r="U91" s="16">
        <f>O91*T91</f>
        <v>12309.935895706922</v>
      </c>
    </row>
    <row r="92" spans="1:21">
      <c r="C92">
        <v>74</v>
      </c>
      <c r="F92" s="4">
        <v>2013</v>
      </c>
      <c r="G92" s="4">
        <v>8</v>
      </c>
      <c r="H92" s="4">
        <v>36</v>
      </c>
      <c r="I92" s="4">
        <v>13</v>
      </c>
      <c r="J92" s="1">
        <v>21</v>
      </c>
      <c r="O92" s="1">
        <v>368000</v>
      </c>
      <c r="Q92" s="34">
        <f>O92*$Q$15</f>
        <v>20098.831093369154</v>
      </c>
      <c r="S92" s="1">
        <f>H92*24+I92+J92/60+K92/3600</f>
        <v>877.35</v>
      </c>
      <c r="T92" s="15">
        <f>Q$15+(Q$16-Q$15)*(S92-S$15)/(S$16-S$15)</f>
        <v>6.1503805140969689E-2</v>
      </c>
      <c r="U92" s="16">
        <f>O92*T92</f>
        <v>22633.400291876846</v>
      </c>
    </row>
    <row r="93" spans="1:21">
      <c r="C93" s="18">
        <v>75</v>
      </c>
      <c r="F93" s="4">
        <v>2013</v>
      </c>
      <c r="G93" s="4">
        <v>8</v>
      </c>
      <c r="H93" s="4">
        <v>36</v>
      </c>
      <c r="I93" s="4">
        <v>13</v>
      </c>
      <c r="J93" s="1">
        <v>23</v>
      </c>
      <c r="O93" s="1">
        <v>399677</v>
      </c>
      <c r="Q93" s="34">
        <f>O93*$Q$15</f>
        <v>21828.914442675279</v>
      </c>
      <c r="S93" s="1">
        <f>H93*24+I93+J93/60+K93/3600</f>
        <v>877.38333333333333</v>
      </c>
      <c r="T93" s="15">
        <f>Q$15+(Q$16-Q$15)*(S93-S$15)/(S$16-S$15)</f>
        <v>6.1619075706664861E-2</v>
      </c>
      <c r="U93" s="16">
        <f>O93*T93</f>
        <v>24627.727321212693</v>
      </c>
    </row>
    <row r="94" spans="1:21">
      <c r="C94" s="18">
        <v>76</v>
      </c>
      <c r="F94" s="4">
        <v>2013</v>
      </c>
      <c r="G94" s="4">
        <v>8</v>
      </c>
      <c r="H94" s="4">
        <v>36</v>
      </c>
      <c r="I94" s="4">
        <v>13</v>
      </c>
      <c r="J94" s="1">
        <v>26</v>
      </c>
      <c r="O94" s="1">
        <v>222490</v>
      </c>
      <c r="Q94" s="34">
        <f>O94*$Q$15</f>
        <v>12151.600353162235</v>
      </c>
      <c r="S94" s="1">
        <f>H94*24+I94+J94/60+K94/3600</f>
        <v>877.43333333333328</v>
      </c>
      <c r="T94" s="15">
        <f>Q$15+(Q$16-Q$15)*(S94-S$15)/(S$16-S$15)</f>
        <v>6.1791981555207612E-2</v>
      </c>
      <c r="U94" s="16">
        <f>O94*T94</f>
        <v>13748.097976218141</v>
      </c>
    </row>
    <row r="95" spans="1:21">
      <c r="C95">
        <v>77</v>
      </c>
      <c r="F95" s="4">
        <v>2013</v>
      </c>
      <c r="G95" s="4">
        <v>8</v>
      </c>
      <c r="H95" s="4">
        <v>36</v>
      </c>
      <c r="I95" s="4">
        <v>13</v>
      </c>
      <c r="J95" s="1">
        <v>28</v>
      </c>
      <c r="O95" s="1">
        <v>180848</v>
      </c>
      <c r="Q95" s="34">
        <f>O95*$Q$15</f>
        <v>9877.2646890587621</v>
      </c>
      <c r="S95" s="1">
        <f>H95*24+I95+J95/60+K95/3600</f>
        <v>877.4666666666667</v>
      </c>
      <c r="T95" s="15">
        <f>Q$15+(Q$16-Q$15)*(S95-S$15)/(S$16-S$15)</f>
        <v>6.1907252120903172E-2</v>
      </c>
      <c r="U95" s="16">
        <f>O95*T95</f>
        <v>11195.802731561096</v>
      </c>
    </row>
    <row r="96" spans="1:21">
      <c r="C96" s="18">
        <v>78</v>
      </c>
      <c r="F96" s="4">
        <v>2013</v>
      </c>
      <c r="G96" s="4">
        <v>8</v>
      </c>
      <c r="H96" s="4">
        <v>36</v>
      </c>
      <c r="I96" s="4">
        <v>13</v>
      </c>
      <c r="J96" s="1">
        <v>30</v>
      </c>
      <c r="O96" s="1">
        <v>190104</v>
      </c>
      <c r="Q96" s="34">
        <f>O96*$Q$15</f>
        <v>10382.793984168069</v>
      </c>
      <c r="S96" s="1">
        <f>H96*24+I96+J96/60+K96/3600</f>
        <v>877.5</v>
      </c>
      <c r="T96" s="15">
        <f>Q$15+(Q$16-Q$15)*(S96-S$15)/(S$16-S$15)</f>
        <v>6.2022522686598344E-2</v>
      </c>
      <c r="U96" s="16">
        <f>O96*T96</f>
        <v>11790.729652813092</v>
      </c>
    </row>
    <row r="97" spans="3:21" ht="15.75">
      <c r="C97" s="18">
        <v>79</v>
      </c>
      <c r="F97" s="4">
        <v>2013</v>
      </c>
      <c r="G97" s="4">
        <v>8</v>
      </c>
      <c r="H97" s="4">
        <v>36</v>
      </c>
      <c r="I97" s="4">
        <v>13</v>
      </c>
      <c r="J97" s="1">
        <v>32</v>
      </c>
      <c r="O97" s="1">
        <v>211469</v>
      </c>
      <c r="Q97" s="34">
        <f>O97*$Q$15</f>
        <v>11549.673131749134</v>
      </c>
      <c r="S97" s="1">
        <f>H97*24+I97+J97/60+K97/3600</f>
        <v>877.5333333333333</v>
      </c>
      <c r="T97" s="15">
        <f>Q$15+(Q$16-Q$15)*(S97-S$15)/(S$16-S$15)</f>
        <v>6.2137793252293516E-2</v>
      </c>
      <c r="U97" s="33">
        <f>O97*T97</f>
        <v>13140.217001269257</v>
      </c>
    </row>
    <row r="98" spans="3:21">
      <c r="C98">
        <v>80</v>
      </c>
      <c r="F98" s="4">
        <v>2013</v>
      </c>
      <c r="G98" s="4">
        <v>8</v>
      </c>
      <c r="H98" s="4">
        <v>36</v>
      </c>
      <c r="I98" s="4">
        <v>13</v>
      </c>
      <c r="J98" s="1">
        <v>33</v>
      </c>
      <c r="O98" s="1">
        <v>179994</v>
      </c>
      <c r="Q98" s="34">
        <f>O98*$Q$15</f>
        <v>9830.6222929888245</v>
      </c>
      <c r="S98" s="1">
        <f>H98*24+I98+J98/60+K98/3600</f>
        <v>877.55</v>
      </c>
      <c r="T98" s="15">
        <f>Q$15+(Q$16-Q$15)*(S98-S$15)/(S$16-S$15)</f>
        <v>6.2195428535141095E-2</v>
      </c>
      <c r="U98" s="16">
        <f>O98*T98</f>
        <v>11194.803963754186</v>
      </c>
    </row>
    <row r="99" spans="3:21">
      <c r="C99" s="18">
        <v>81</v>
      </c>
      <c r="F99" s="4">
        <v>2013</v>
      </c>
      <c r="G99" s="4">
        <v>8</v>
      </c>
      <c r="H99" s="4">
        <v>36</v>
      </c>
      <c r="I99" s="4">
        <v>13</v>
      </c>
      <c r="J99" s="1">
        <v>36</v>
      </c>
      <c r="O99" s="1">
        <v>409290</v>
      </c>
      <c r="Q99" s="34">
        <f>O99*$Q$15</f>
        <v>22353.941788600707</v>
      </c>
      <c r="S99" s="1">
        <f>H99*24+I99+J99/60+K99/3600</f>
        <v>877.6</v>
      </c>
      <c r="T99" s="15">
        <f>Q$15+(Q$16-Q$15)*(S99-S$15)/(S$16-S$15)</f>
        <v>6.2368334383684242E-2</v>
      </c>
      <c r="U99" s="16">
        <f>O99*T99</f>
        <v>25526.735579898123</v>
      </c>
    </row>
    <row r="100" spans="3:21">
      <c r="C100" s="18">
        <v>82</v>
      </c>
      <c r="F100" s="4">
        <v>2013</v>
      </c>
      <c r="G100" s="4">
        <v>8</v>
      </c>
      <c r="H100" s="4">
        <v>36</v>
      </c>
      <c r="I100" s="4">
        <v>13</v>
      </c>
      <c r="J100" s="1">
        <v>38</v>
      </c>
      <c r="O100" s="1">
        <v>427943</v>
      </c>
      <c r="Q100" s="34">
        <f>O100*$Q$15</f>
        <v>23372.701289645855</v>
      </c>
      <c r="S100" s="1">
        <f>H100*24+I100+J100/60+K100/3600</f>
        <v>877.63333333333333</v>
      </c>
      <c r="T100" s="15">
        <f>Q$15+(Q$16-Q$15)*(S100-S$15)/(S$16-S$15)</f>
        <v>6.2483604949379414E-2</v>
      </c>
      <c r="U100" s="16">
        <f>O100*T100</f>
        <v>26739.421352852274</v>
      </c>
    </row>
    <row r="101" spans="3:21">
      <c r="C101">
        <v>83</v>
      </c>
      <c r="F101" s="4">
        <v>2013</v>
      </c>
      <c r="G101" s="4">
        <v>8</v>
      </c>
      <c r="H101" s="4">
        <v>36</v>
      </c>
      <c r="I101" s="4">
        <v>13</v>
      </c>
      <c r="J101" s="1">
        <v>41</v>
      </c>
      <c r="O101" s="1">
        <v>410635</v>
      </c>
      <c r="Q101" s="34">
        <f>O101*$Q$15</f>
        <v>22427.400831591418</v>
      </c>
      <c r="S101" s="1">
        <f>H101*24+I101+J101/60+K101/3600</f>
        <v>877.68333333333328</v>
      </c>
      <c r="T101" s="15">
        <f>Q$15+(Q$16-Q$15)*(S101-S$15)/(S$16-S$15)</f>
        <v>6.2656510797922171E-2</v>
      </c>
      <c r="U101" s="16">
        <f>O101*T101</f>
        <v>25728.956311504771</v>
      </c>
    </row>
    <row r="102" spans="3:21">
      <c r="C102" s="18">
        <v>84</v>
      </c>
      <c r="F102" s="4">
        <v>2013</v>
      </c>
      <c r="G102" s="4">
        <v>8</v>
      </c>
      <c r="H102" s="4">
        <v>36</v>
      </c>
      <c r="I102" s="4">
        <v>13</v>
      </c>
      <c r="J102" s="1">
        <v>42</v>
      </c>
      <c r="O102" s="1">
        <v>580295</v>
      </c>
      <c r="Q102" s="34">
        <f>O102*$Q$15</f>
        <v>31693.617362300683</v>
      </c>
      <c r="S102" s="1">
        <f>H102*24+I102+J102/60+K102/3600</f>
        <v>877.7</v>
      </c>
      <c r="T102" s="15">
        <f>Q$15+(Q$16-Q$15)*(S102-S$15)/(S$16-S$15)</f>
        <v>6.2714146080770139E-2</v>
      </c>
      <c r="U102" s="16">
        <f>O102*T102</f>
        <v>36392.705399940511</v>
      </c>
    </row>
  </sheetData>
  <conditionalFormatting sqref="N88:N65536">
    <cfRule type="cellIs" dxfId="5" priority="2" operator="greaterThan">
      <formula>300000</formula>
    </cfRule>
  </conditionalFormatting>
  <conditionalFormatting sqref="Q19:Q87">
    <cfRule type="cellIs" dxfId="4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2"/>
  <sheetViews>
    <sheetView zoomScale="66" zoomScaleNormal="66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1.28515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3" width="8.5703125"/>
    <col min="24" max="24" width="12.140625"/>
    <col min="25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41491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36</v>
      </c>
      <c r="I2" s="4">
        <v>11</v>
      </c>
      <c r="J2" s="4">
        <v>50</v>
      </c>
      <c r="K2" s="4"/>
      <c r="L2" s="4"/>
      <c r="M2" s="4"/>
      <c r="N2" s="4"/>
      <c r="O2" s="4">
        <v>167928</v>
      </c>
      <c r="P2"/>
      <c r="Q2"/>
      <c r="R2"/>
      <c r="S2" s="1">
        <f>H2*24+I2+J2/60+K2/3600</f>
        <v>875.83333333333337</v>
      </c>
      <c r="T2"/>
      <c r="U2"/>
      <c r="X2" t="s">
        <v>96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36</v>
      </c>
      <c r="I3" s="4">
        <v>11</v>
      </c>
      <c r="J3" s="4">
        <v>51</v>
      </c>
      <c r="K3" s="4"/>
      <c r="L3" s="4"/>
      <c r="M3" s="4"/>
      <c r="N3" s="4"/>
      <c r="O3" s="4">
        <v>165763</v>
      </c>
      <c r="P3"/>
      <c r="Q3"/>
      <c r="R3"/>
      <c r="S3" s="1">
        <f>H3*24+I3+J3/60+K3/3600</f>
        <v>875.85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36</v>
      </c>
      <c r="I4" s="4">
        <v>11</v>
      </c>
      <c r="J4" s="4">
        <v>53</v>
      </c>
      <c r="K4" s="4"/>
      <c r="L4" s="4"/>
      <c r="M4" s="4"/>
      <c r="N4" s="4"/>
      <c r="O4" s="4">
        <v>168998</v>
      </c>
      <c r="P4"/>
      <c r="Q4"/>
      <c r="R4"/>
      <c r="S4" s="1">
        <f>H4*24+I4+J4/60+K4/3600</f>
        <v>875.88333333333333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36</v>
      </c>
      <c r="I5" s="4">
        <v>11</v>
      </c>
      <c r="J5" s="4">
        <v>54</v>
      </c>
      <c r="K5" s="4"/>
      <c r="L5" s="4"/>
      <c r="M5" s="4"/>
      <c r="N5" s="4"/>
      <c r="O5" s="4">
        <v>159896</v>
      </c>
      <c r="P5"/>
      <c r="Q5"/>
      <c r="R5"/>
      <c r="S5" s="1">
        <f>H5*24+I5+J5/60+K5/3600</f>
        <v>875.9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36</v>
      </c>
      <c r="I7" s="4">
        <v>15</v>
      </c>
      <c r="J7" s="4">
        <v>8</v>
      </c>
      <c r="K7" s="4"/>
      <c r="L7" s="4"/>
      <c r="M7" s="4"/>
      <c r="N7" s="4"/>
      <c r="O7" s="4">
        <v>144442</v>
      </c>
      <c r="P7"/>
      <c r="Q7"/>
      <c r="R7"/>
      <c r="S7" s="1">
        <f>H7*24+I7+J7/60+K7/3600</f>
        <v>879.13333333333333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36</v>
      </c>
      <c r="I8" s="4">
        <v>15</v>
      </c>
      <c r="J8" s="4">
        <v>9</v>
      </c>
      <c r="K8" s="4"/>
      <c r="L8" s="4"/>
      <c r="M8" s="4"/>
      <c r="N8" s="4"/>
      <c r="O8" s="4">
        <v>137874</v>
      </c>
      <c r="P8"/>
      <c r="Q8"/>
      <c r="R8"/>
      <c r="S8" s="1">
        <f>H8*24+I8+J8/60+K8/3600</f>
        <v>879.15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36</v>
      </c>
      <c r="I9" s="4">
        <v>15</v>
      </c>
      <c r="J9" s="4">
        <v>10</v>
      </c>
      <c r="K9" s="4"/>
      <c r="L9" s="4"/>
      <c r="M9" s="4"/>
      <c r="N9" s="4"/>
      <c r="O9" s="4">
        <v>113835</v>
      </c>
      <c r="P9"/>
      <c r="Q9"/>
      <c r="R9"/>
      <c r="S9" s="1">
        <f>H9*24+I9+J9/60+K9/3600</f>
        <v>879.16666666666663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36</v>
      </c>
      <c r="I10" s="4">
        <v>15</v>
      </c>
      <c r="J10" s="4">
        <v>11</v>
      </c>
      <c r="K10" s="4"/>
      <c r="L10" s="4"/>
      <c r="M10" s="4"/>
      <c r="N10" s="4"/>
      <c r="O10" s="4">
        <v>136650</v>
      </c>
      <c r="P10"/>
      <c r="Q10"/>
      <c r="R10"/>
      <c r="S10" s="1">
        <f>H10*24+I10+J10/60+K10/3600</f>
        <v>879.18333333333328</v>
      </c>
      <c r="T10"/>
      <c r="U10"/>
    </row>
    <row r="11" spans="1:24">
      <c r="A11"/>
      <c r="D11"/>
      <c r="E11"/>
      <c r="F11" s="4">
        <v>2013</v>
      </c>
      <c r="G11" s="4">
        <v>8</v>
      </c>
      <c r="H11" s="4">
        <v>36</v>
      </c>
      <c r="I11" s="4">
        <v>15</v>
      </c>
      <c r="J11" s="4">
        <v>12</v>
      </c>
      <c r="K11" s="4"/>
      <c r="L11" s="4"/>
      <c r="M11" s="4"/>
      <c r="N11" s="4"/>
      <c r="O11" s="4">
        <v>134803</v>
      </c>
      <c r="P11"/>
      <c r="Q11"/>
      <c r="R11"/>
      <c r="S11" s="1">
        <f>H11*24+I11+J11/60+K11/3600</f>
        <v>879.2</v>
      </c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165646.25</v>
      </c>
      <c r="Q15" s="8">
        <f>F15/O15</f>
        <v>5.4616388840677044E-2</v>
      </c>
      <c r="S15" s="1">
        <f>AVERAGE(S2:S6)</f>
        <v>875.86666666666667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133520.79999999999</v>
      </c>
      <c r="Q16" s="1">
        <f>F15/O16</f>
        <v>6.7757233329938119E-2</v>
      </c>
      <c r="S16" s="1">
        <f>AVERAGE(S7:S11)</f>
        <v>879.16666666666663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36</v>
      </c>
      <c r="I19" s="4">
        <v>13</v>
      </c>
      <c r="J19" s="4">
        <v>52</v>
      </c>
      <c r="K19" s="4"/>
      <c r="L19" s="4"/>
      <c r="M19" s="4"/>
      <c r="N19" s="4"/>
      <c r="O19" s="4">
        <v>19955</v>
      </c>
      <c r="Q19" s="13">
        <f>O19*$Q$15</f>
        <v>1089.8700393157103</v>
      </c>
      <c r="R19" s="14"/>
      <c r="S19" s="1">
        <f>H19*24+I19+J19/60+K19/3600</f>
        <v>877.86666666666667</v>
      </c>
      <c r="T19" s="15">
        <f>Q15+(Q16-Q15)*(S19-S15)/(S16-S15)</f>
        <v>6.2580537015986898E-2</v>
      </c>
      <c r="U19" s="16">
        <f>O19*T19</f>
        <v>1248.7946161540185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36</v>
      </c>
      <c r="I20" s="4">
        <v>13</v>
      </c>
      <c r="J20" s="4">
        <v>55</v>
      </c>
      <c r="K20" s="4"/>
      <c r="L20" s="4"/>
      <c r="M20" s="4"/>
      <c r="N20" s="4"/>
      <c r="O20" s="4">
        <v>12893</v>
      </c>
      <c r="Q20" s="13">
        <f>O20*$Q$15</f>
        <v>704.16910132284909</v>
      </c>
      <c r="R20" s="14"/>
      <c r="S20" s="1">
        <f>H20*24+I20+J20/60+K20/3600</f>
        <v>877.91666666666663</v>
      </c>
      <c r="T20" s="15">
        <f>Q15+(Q16-Q15)*(S20-S15)/(S16-S15)</f>
        <v>6.2779640720369456E-2</v>
      </c>
      <c r="U20" s="16">
        <f>O20*T20</f>
        <v>809.4179078077234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36</v>
      </c>
      <c r="I21" s="4">
        <v>13</v>
      </c>
      <c r="J21" s="4">
        <v>58</v>
      </c>
      <c r="K21" s="4"/>
      <c r="L21" s="4"/>
      <c r="M21" s="4"/>
      <c r="N21" s="4"/>
      <c r="O21" s="4">
        <v>19326</v>
      </c>
      <c r="Q21" s="13">
        <f>O21*$Q$15</f>
        <v>1055.5163307349246</v>
      </c>
      <c r="R21" s="14"/>
      <c r="S21" s="1">
        <f>H21*24+I21+J21/60+K21/3600</f>
        <v>877.9666666666667</v>
      </c>
      <c r="T21" s="15">
        <f>Q15+(Q16-Q15)*(S21-S15)/(S16-S15)</f>
        <v>6.2978744424752486E-2</v>
      </c>
      <c r="U21" s="16">
        <f>O21*T21</f>
        <v>1217.1272147527666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36</v>
      </c>
      <c r="I22" s="4">
        <v>13</v>
      </c>
      <c r="J22" s="4">
        <v>59</v>
      </c>
      <c r="K22" s="4"/>
      <c r="L22" s="4"/>
      <c r="M22" s="4"/>
      <c r="N22" s="4"/>
      <c r="O22" s="4">
        <v>24432</v>
      </c>
      <c r="Q22" s="13">
        <f>O22*$Q$15</f>
        <v>1334.3876121554215</v>
      </c>
      <c r="R22" s="14"/>
      <c r="S22" s="1">
        <f>H22*24+I22+J22/60+K22/3600</f>
        <v>877.98333333333335</v>
      </c>
      <c r="T22" s="15">
        <f>Q15+(Q16-Q15)*(S22-S15)/(S16-S15)</f>
        <v>6.3045112326213334E-2</v>
      </c>
      <c r="U22" s="16">
        <f>O22*T22</f>
        <v>1540.3181843540442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36</v>
      </c>
      <c r="I23" s="4">
        <v>14</v>
      </c>
      <c r="J23" s="4">
        <v>2</v>
      </c>
      <c r="K23" s="4"/>
      <c r="L23" s="4"/>
      <c r="M23" s="4"/>
      <c r="N23" s="4"/>
      <c r="O23" s="4">
        <v>16294</v>
      </c>
      <c r="Q23" s="13">
        <f>O23*$Q$15</f>
        <v>889.91943976999175</v>
      </c>
      <c r="R23" s="14"/>
      <c r="S23" s="1">
        <f>H23*24+I23+J23/60+K23/3600</f>
        <v>878.0333333333333</v>
      </c>
      <c r="T23" s="15">
        <f>Q15+(Q16-Q15)*(S23-S15)/(S16-S15)</f>
        <v>6.3244216030595907E-2</v>
      </c>
      <c r="U23" s="16">
        <f>O23*T23</f>
        <v>1030.5012560025298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36</v>
      </c>
      <c r="I24" s="4">
        <v>14</v>
      </c>
      <c r="J24" s="4">
        <v>5</v>
      </c>
      <c r="K24" s="4"/>
      <c r="L24" s="4"/>
      <c r="M24" s="4"/>
      <c r="N24" s="4"/>
      <c r="O24" s="4">
        <v>17672</v>
      </c>
      <c r="Q24" s="13">
        <f>O24*$Q$15</f>
        <v>965.18082359244477</v>
      </c>
      <c r="R24" s="14"/>
      <c r="S24" s="1">
        <f>H24*24+I24+J24/60+K24/3600</f>
        <v>878.08333333333337</v>
      </c>
      <c r="T24" s="15">
        <f>Q15+(Q16-Q15)*(S24-S15)/(S16-S15)</f>
        <v>6.3443319734978923E-2</v>
      </c>
      <c r="U24" s="16">
        <f>O24*T24</f>
        <v>1121.1703463565475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36</v>
      </c>
      <c r="I25" s="4">
        <v>14</v>
      </c>
      <c r="J25" s="4">
        <v>7</v>
      </c>
      <c r="K25" s="4"/>
      <c r="L25" s="4"/>
      <c r="M25" s="4"/>
      <c r="N25" s="4"/>
      <c r="O25" s="4">
        <v>13435</v>
      </c>
      <c r="Q25" s="13">
        <f>O25*$Q$15</f>
        <v>733.77118407449609</v>
      </c>
      <c r="R25" s="14"/>
      <c r="S25" s="1">
        <f>H25*24+I25+J25/60+K25/3600</f>
        <v>878.11666666666667</v>
      </c>
      <c r="T25" s="15">
        <f>Q15+(Q16-Q15)*(S25-S15)/(S16-S15)</f>
        <v>6.3576055537900633E-2</v>
      </c>
      <c r="U25" s="16">
        <f>O25*T25</f>
        <v>854.14430615169499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36</v>
      </c>
      <c r="I26" s="4">
        <v>14</v>
      </c>
      <c r="J26" s="4">
        <v>9</v>
      </c>
      <c r="K26" s="4"/>
      <c r="L26" s="4"/>
      <c r="M26" s="4"/>
      <c r="N26" s="4"/>
      <c r="O26" s="4">
        <v>9424</v>
      </c>
      <c r="Q26" s="13">
        <f>O26*$Q$15</f>
        <v>514.70484843454051</v>
      </c>
      <c r="R26" s="14"/>
      <c r="S26" s="1">
        <f>H26*24+I26+J26/60+K26/3600</f>
        <v>878.15</v>
      </c>
      <c r="T26" s="15">
        <f>Q15+(Q16-Q15)*(S26-S15)/(S16-S15)</f>
        <v>6.3708791340822329E-2</v>
      </c>
      <c r="U26" s="16">
        <f>O26*T26</f>
        <v>600.3916495959096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36</v>
      </c>
      <c r="I27" s="4">
        <v>14</v>
      </c>
      <c r="J27" s="4">
        <v>12</v>
      </c>
      <c r="K27" s="4"/>
      <c r="L27" s="4"/>
      <c r="M27" s="4"/>
      <c r="N27" s="4"/>
      <c r="O27" s="4">
        <v>19443</v>
      </c>
      <c r="Q27" s="13">
        <f>O27*$Q$15</f>
        <v>1061.9064482292838</v>
      </c>
      <c r="R27" s="14"/>
      <c r="S27" s="1">
        <f>H27*24+I27+J27/60+K27/3600</f>
        <v>878.2</v>
      </c>
      <c r="T27" s="15">
        <f>Q15+(Q16-Q15)*(S27-S15)/(S16-S15)</f>
        <v>6.390789504520536E-2</v>
      </c>
      <c r="U27" s="16">
        <f>O27*T27</f>
        <v>1242.5612033639279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36</v>
      </c>
      <c r="I28" s="4">
        <v>14</v>
      </c>
      <c r="J28" s="4">
        <v>14</v>
      </c>
      <c r="K28" s="4"/>
      <c r="L28" s="4"/>
      <c r="M28" s="4"/>
      <c r="N28" s="4"/>
      <c r="O28" s="4">
        <v>13050</v>
      </c>
      <c r="Q28" s="13">
        <f>O28*$Q$15</f>
        <v>712.74387437083544</v>
      </c>
      <c r="R28" s="14"/>
      <c r="S28" s="1">
        <f>H28*24+I28+J28/60+K28/3600</f>
        <v>878.23333333333335</v>
      </c>
      <c r="T28" s="15">
        <f>Q15+(Q16-Q15)*(S28-S15)/(S16-S15)</f>
        <v>6.404063084812707E-2</v>
      </c>
      <c r="U28" s="16">
        <f>O28*T28</f>
        <v>835.73023256805823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36</v>
      </c>
      <c r="I29" s="4">
        <v>14</v>
      </c>
      <c r="J29" s="4">
        <v>18</v>
      </c>
      <c r="K29" s="4"/>
      <c r="L29" s="4"/>
      <c r="M29" s="4"/>
      <c r="N29" s="4"/>
      <c r="O29" s="4">
        <v>13437</v>
      </c>
      <c r="Q29" s="13">
        <f>O29*$Q$15</f>
        <v>733.8804168521774</v>
      </c>
      <c r="R29" s="14"/>
      <c r="S29" s="1">
        <f>H29*24+I29+J29/60+K29/3600</f>
        <v>878.3</v>
      </c>
      <c r="T29" s="15">
        <f>Q15+(Q16-Q15)*(S29-S15)/(S16-S15)</f>
        <v>6.430610245397049E-2</v>
      </c>
      <c r="U29" s="16">
        <f>O29*T29</f>
        <v>864.08109867400151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36</v>
      </c>
      <c r="I30" s="4">
        <v>14</v>
      </c>
      <c r="J30" s="4">
        <v>20</v>
      </c>
      <c r="K30" s="4"/>
      <c r="L30" s="4"/>
      <c r="M30" s="4"/>
      <c r="N30" s="4"/>
      <c r="O30" s="4">
        <v>12653</v>
      </c>
      <c r="Q30" s="13">
        <f>O30*$Q$15</f>
        <v>691.06116800108668</v>
      </c>
      <c r="R30" s="14"/>
      <c r="S30" s="1">
        <f>H30*24+I30+J30/60+K30/3600</f>
        <v>878.33333333333337</v>
      </c>
      <c r="T30" s="15">
        <f>Q15+(Q16-Q15)*(S30-S15)/(S16-S15)</f>
        <v>6.4438838256892644E-2</v>
      </c>
      <c r="U30" s="16">
        <f>O30*T30</f>
        <v>815.34462046446265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36</v>
      </c>
      <c r="I31" s="4">
        <v>14</v>
      </c>
      <c r="J31" s="4">
        <v>21</v>
      </c>
      <c r="K31" s="4"/>
      <c r="L31" s="4"/>
      <c r="M31" s="4"/>
      <c r="N31" s="4"/>
      <c r="O31" s="4">
        <v>14730</v>
      </c>
      <c r="Q31" s="13">
        <f>O31*$Q$15</f>
        <v>804.49940762317283</v>
      </c>
      <c r="R31" s="14"/>
      <c r="S31" s="1">
        <f>H31*24+I31+J31/60+K31/3600</f>
        <v>878.35</v>
      </c>
      <c r="T31" s="15">
        <f>Q15+(Q16-Q15)*(S31-S15)/(S16-S15)</f>
        <v>6.4505206158353506E-2</v>
      </c>
      <c r="U31" s="16">
        <f>O31*T31</f>
        <v>950.16168671254718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36</v>
      </c>
      <c r="I32" s="4">
        <v>14</v>
      </c>
      <c r="J32" s="4">
        <v>22</v>
      </c>
      <c r="K32" s="4"/>
      <c r="L32" s="4"/>
      <c r="M32" s="4"/>
      <c r="N32" s="4"/>
      <c r="O32" s="4">
        <v>15936</v>
      </c>
      <c r="Q32" s="13">
        <f>O32*$Q$15</f>
        <v>870.36677256502935</v>
      </c>
      <c r="R32" s="14"/>
      <c r="S32" s="1">
        <f>H32*24+I32+J32/60+K32/3600</f>
        <v>878.36666666666667</v>
      </c>
      <c r="T32" s="15">
        <f>Q15+(Q16-Q15)*(S32-S15)/(S16-S15)</f>
        <v>6.4571574059814354E-2</v>
      </c>
      <c r="U32" s="16">
        <f>O32*T32</f>
        <v>1029.0126042172014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36</v>
      </c>
      <c r="I33" s="4">
        <v>14</v>
      </c>
      <c r="J33" s="4">
        <v>24</v>
      </c>
      <c r="K33" s="4"/>
      <c r="L33" s="4"/>
      <c r="M33" s="4"/>
      <c r="N33" s="4"/>
      <c r="O33" s="4">
        <v>17917</v>
      </c>
      <c r="Q33" s="13">
        <f>O33*$Q$15</f>
        <v>978.56183885841062</v>
      </c>
      <c r="R33" s="14"/>
      <c r="S33" s="1">
        <f>H33*24+I33+J33/60+K33/3600</f>
        <v>878.4</v>
      </c>
      <c r="T33" s="15">
        <f>Q15+(Q16-Q15)*(S33-S15)/(S16-S15)</f>
        <v>6.4704309862736065E-2</v>
      </c>
      <c r="U33" s="16">
        <f>O33*T33</f>
        <v>1159.307119810642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36</v>
      </c>
      <c r="I34" s="4">
        <v>14</v>
      </c>
      <c r="J34" s="4">
        <v>26</v>
      </c>
      <c r="K34" s="4"/>
      <c r="L34" s="4"/>
      <c r="M34" s="4"/>
      <c r="N34" s="4"/>
      <c r="O34" s="4">
        <v>29648</v>
      </c>
      <c r="Q34" s="13">
        <f>O34*$Q$15</f>
        <v>1619.266696348393</v>
      </c>
      <c r="R34" s="14"/>
      <c r="S34" s="1">
        <f>H34*24+I34+J34/60+K34/3600</f>
        <v>878.43333333333328</v>
      </c>
      <c r="T34" s="15">
        <f>Q15+(Q16-Q15)*(S34-S15)/(S16-S15)</f>
        <v>6.4837045665657775E-2</v>
      </c>
      <c r="U34" s="16">
        <f>O34*T34</f>
        <v>1922.2887298954217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36</v>
      </c>
      <c r="I35" s="4">
        <v>14</v>
      </c>
      <c r="J35" s="4">
        <v>27</v>
      </c>
      <c r="K35" s="4"/>
      <c r="L35" s="4"/>
      <c r="M35" s="4"/>
      <c r="N35" s="4"/>
      <c r="O35" s="4">
        <v>18886</v>
      </c>
      <c r="Q35" s="13">
        <f>O35*$Q$15</f>
        <v>1031.4851196450265</v>
      </c>
      <c r="R35" s="14"/>
      <c r="S35" s="1">
        <f>H35*24+I35+J35/60+K35/3600</f>
        <v>878.45</v>
      </c>
      <c r="T35" s="15">
        <f>Q15+(Q16-Q15)*(S35-S15)/(S16-S15)</f>
        <v>6.4903413567119095E-2</v>
      </c>
      <c r="U35" s="16">
        <f>O35*T35</f>
        <v>1225.7658686286113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36</v>
      </c>
      <c r="I36" s="4">
        <v>14</v>
      </c>
      <c r="J36" s="6">
        <v>29</v>
      </c>
      <c r="K36" s="6"/>
      <c r="L36" s="6"/>
      <c r="M36" s="6"/>
      <c r="N36" s="6"/>
      <c r="O36" s="6">
        <v>32768</v>
      </c>
      <c r="P36" s="5"/>
      <c r="Q36" s="21">
        <f>O36*$Q$15</f>
        <v>1789.6698295313054</v>
      </c>
      <c r="R36" s="22"/>
      <c r="S36" s="5">
        <f>H36*24+I36+J36/60+K36/3600</f>
        <v>878.48333333333335</v>
      </c>
      <c r="T36" s="23">
        <f>Q15+(Q16-Q15)*(S36-S15)/(S16-S15)</f>
        <v>6.5036149370040791E-2</v>
      </c>
      <c r="U36" s="24">
        <f>O36*T36</f>
        <v>2131.1045425574966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36</v>
      </c>
      <c r="I37" s="4">
        <v>14</v>
      </c>
      <c r="J37" s="4">
        <v>31</v>
      </c>
      <c r="K37" s="4"/>
      <c r="L37" s="4"/>
      <c r="M37" s="4"/>
      <c r="N37" s="4"/>
      <c r="O37" s="4">
        <v>31952</v>
      </c>
      <c r="Q37" s="13">
        <f>O37*$Q$15</f>
        <v>1745.1028562373128</v>
      </c>
      <c r="R37" s="14"/>
      <c r="S37" s="1">
        <f>H37*24+I37+J37/60+K37/3600</f>
        <v>878.51666666666665</v>
      </c>
      <c r="T37" s="15">
        <f>Q15+(Q16-Q15)*(S37-S15)/(S16-S15)</f>
        <v>6.5168885172962501E-2</v>
      </c>
      <c r="U37" s="16">
        <f>O37*T37</f>
        <v>2082.2762190464978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36</v>
      </c>
      <c r="I38" s="4">
        <v>14</v>
      </c>
      <c r="J38" s="4">
        <v>33</v>
      </c>
      <c r="K38" s="4"/>
      <c r="L38" s="4"/>
      <c r="M38" s="4"/>
      <c r="N38" s="4"/>
      <c r="O38" s="4">
        <v>17979</v>
      </c>
      <c r="Q38" s="13">
        <f>O38*$Q$15</f>
        <v>981.9480549665326</v>
      </c>
      <c r="R38" s="14"/>
      <c r="S38" s="1">
        <f>H38*24+I38+J38/60+K38/3600</f>
        <v>878.55</v>
      </c>
      <c r="T38" s="15">
        <f>Q15+(Q16-Q15)*(S38-S15)/(S16-S15)</f>
        <v>6.5301620975884211E-2</v>
      </c>
      <c r="U38" s="16">
        <f>O38*T38</f>
        <v>1174.0578435254222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36</v>
      </c>
      <c r="I39" s="4">
        <v>14</v>
      </c>
      <c r="J39" s="6">
        <v>35</v>
      </c>
      <c r="K39" s="6"/>
      <c r="L39" s="6"/>
      <c r="M39" s="6"/>
      <c r="N39" s="6"/>
      <c r="O39" s="6">
        <v>16602</v>
      </c>
      <c r="P39" s="5"/>
      <c r="Q39" s="21">
        <f>O39*$Q$15</f>
        <v>906.7412875329203</v>
      </c>
      <c r="R39" s="22"/>
      <c r="S39" s="5">
        <f>H39*24+I39+J39/60+K39/3600</f>
        <v>878.58333333333337</v>
      </c>
      <c r="T39" s="23">
        <f>Q15+(Q16-Q15)*(S39-S15)/(S16-S15)</f>
        <v>6.543435677880638E-2</v>
      </c>
      <c r="U39" s="24">
        <f>O39*T39</f>
        <v>1086.3411912417434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36</v>
      </c>
      <c r="I40" s="4">
        <v>14</v>
      </c>
      <c r="J40" s="4">
        <v>36</v>
      </c>
      <c r="K40" s="4"/>
      <c r="L40" s="4"/>
      <c r="M40" s="4"/>
      <c r="N40" s="4"/>
      <c r="O40" s="4">
        <v>25725</v>
      </c>
      <c r="Q40" s="13">
        <f>O40*$Q$15</f>
        <v>1405.0066029264169</v>
      </c>
      <c r="R40" s="14"/>
      <c r="S40" s="1">
        <f>H40*24+I40+J40/60+K40/3600</f>
        <v>878.6</v>
      </c>
      <c r="T40" s="15">
        <f>Q15+(Q16-Q15)*(S40-S15)/(S16-S15)</f>
        <v>6.5500724680267242E-2</v>
      </c>
      <c r="U40" s="16">
        <f>O40*T40</f>
        <v>1685.0061423998748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36</v>
      </c>
      <c r="I41" s="4">
        <v>14</v>
      </c>
      <c r="J41" s="4">
        <v>38</v>
      </c>
      <c r="K41" s="4"/>
      <c r="L41" s="4"/>
      <c r="M41" s="4"/>
      <c r="N41" s="4"/>
      <c r="O41" s="4">
        <v>18703</v>
      </c>
      <c r="Q41" s="13">
        <f>O41*$Q$15</f>
        <v>1021.4903204871828</v>
      </c>
      <c r="R41" s="14"/>
      <c r="S41" s="1">
        <f>H41*24+I41+J41/60+K41/3600</f>
        <v>878.63333333333333</v>
      </c>
      <c r="T41" s="15">
        <f>Q15+(Q16-Q15)*(S41-S15)/(S16-S15)</f>
        <v>6.5633460483188938E-2</v>
      </c>
      <c r="U41" s="16">
        <f>O41*T41</f>
        <v>1227.5426114170828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36</v>
      </c>
      <c r="I42" s="4">
        <v>14</v>
      </c>
      <c r="J42" s="4">
        <v>40</v>
      </c>
      <c r="K42" s="4"/>
      <c r="L42" s="4"/>
      <c r="M42" s="4"/>
      <c r="N42" s="4"/>
      <c r="O42" s="4">
        <v>20806</v>
      </c>
      <c r="Q42" s="13">
        <f>O42*$Q$15</f>
        <v>1136.3485862191267</v>
      </c>
      <c r="R42" s="14"/>
      <c r="S42" s="1">
        <f>H42*24+I42+J42/60+K42/3600</f>
        <v>878.66666666666663</v>
      </c>
      <c r="T42" s="15">
        <f>Q15+(Q16-Q15)*(S42-S15)/(S16-S15)</f>
        <v>6.5766196286110662E-2</v>
      </c>
      <c r="U42" s="16">
        <f>O42*T42</f>
        <v>1368.3314799288185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36</v>
      </c>
      <c r="I43" s="4">
        <v>14</v>
      </c>
      <c r="J43" s="4">
        <v>42</v>
      </c>
      <c r="K43" s="4"/>
      <c r="L43" s="4"/>
      <c r="M43" s="4"/>
      <c r="N43" s="4"/>
      <c r="O43" s="4">
        <v>27126</v>
      </c>
      <c r="Q43" s="13">
        <f>O43*$Q$15</f>
        <v>1481.5241636922055</v>
      </c>
      <c r="R43" s="14"/>
      <c r="S43" s="1">
        <f>H43*24+I43+J43/60+K43/3600</f>
        <v>878.7</v>
      </c>
      <c r="T43" s="15">
        <f>Q15+(Q16-Q15)*(S43-S15)/(S16-S15)</f>
        <v>6.5898932089032816E-2</v>
      </c>
      <c r="U43" s="16">
        <f>O43*T43</f>
        <v>1787.5744318471043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36</v>
      </c>
      <c r="I44" s="4">
        <v>14</v>
      </c>
      <c r="J44" s="4">
        <v>43</v>
      </c>
      <c r="K44" s="4"/>
      <c r="L44" s="4"/>
      <c r="M44" s="4"/>
      <c r="N44" s="4"/>
      <c r="O44" s="4">
        <v>11741</v>
      </c>
      <c r="Q44" s="13">
        <f>O44*$Q$15</f>
        <v>641.25102137838917</v>
      </c>
      <c r="R44" s="14"/>
      <c r="S44" s="1">
        <f>H44*24+I44+J44/60+K44/3600</f>
        <v>878.7166666666667</v>
      </c>
      <c r="T44" s="15">
        <f>Q15+(Q16-Q15)*(S44-S15)/(S16-S15)</f>
        <v>6.5965299990493678E-2</v>
      </c>
      <c r="U44" s="16">
        <f>O44*T44</f>
        <v>774.4985871883863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36</v>
      </c>
      <c r="I45" s="4">
        <v>14</v>
      </c>
      <c r="J45" s="4">
        <v>45</v>
      </c>
      <c r="K45" s="4"/>
      <c r="L45" s="4"/>
      <c r="M45" s="4"/>
      <c r="N45" s="4"/>
      <c r="O45" s="4">
        <v>22938</v>
      </c>
      <c r="Q45" s="13">
        <f>O45*$Q$15</f>
        <v>1252.7907272274501</v>
      </c>
      <c r="R45" s="14"/>
      <c r="S45" s="1">
        <f>H45*24+I45+J45/60+K45/3600</f>
        <v>878.75</v>
      </c>
      <c r="T45" s="15">
        <f>Q15+(Q16-Q15)*(S45-S15)/(S16-S15)</f>
        <v>6.6098035793415388E-2</v>
      </c>
      <c r="U45" s="16">
        <f>O45*T45</f>
        <v>1516.1567450293621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36</v>
      </c>
      <c r="I46" s="4">
        <v>14</v>
      </c>
      <c r="J46" s="4">
        <v>46</v>
      </c>
      <c r="K46" s="4"/>
      <c r="L46" s="4"/>
      <c r="M46" s="4"/>
      <c r="N46" s="4"/>
      <c r="O46" s="4">
        <v>361005</v>
      </c>
      <c r="Q46" s="13">
        <f>O46*$Q$15</f>
        <v>19716.789453428617</v>
      </c>
      <c r="R46" s="14"/>
      <c r="S46" s="1">
        <f>H46*24+I46+J46/60+K46/3600</f>
        <v>878.76666666666665</v>
      </c>
      <c r="T46" s="15">
        <f>Q15+(Q16-Q15)*(S46-S15)/(S16-S15)</f>
        <v>6.6164403694876237E-2</v>
      </c>
      <c r="U46" s="16">
        <f>O46*T46</f>
        <v>23885.680555868796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36</v>
      </c>
      <c r="I47" s="4">
        <v>14</v>
      </c>
      <c r="J47" s="4">
        <v>48</v>
      </c>
      <c r="K47" s="4"/>
      <c r="L47" s="4"/>
      <c r="M47" s="4"/>
      <c r="N47" s="4"/>
      <c r="O47" s="4">
        <v>32386</v>
      </c>
      <c r="Q47" s="13">
        <f>O47*$Q$15</f>
        <v>1768.8063689941666</v>
      </c>
      <c r="R47" s="14"/>
      <c r="S47" s="1">
        <f>H47*24+I47+J47/60+K47/3600</f>
        <v>878.8</v>
      </c>
      <c r="T47" s="15">
        <f>Q15+(Q16-Q15)*(S47-S15)/(S16-S15)</f>
        <v>6.6297139497797947E-2</v>
      </c>
      <c r="U47" s="16">
        <f>O47*T47</f>
        <v>2147.0991597756843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36</v>
      </c>
      <c r="I48" s="4">
        <v>14</v>
      </c>
      <c r="J48" s="4">
        <v>49</v>
      </c>
      <c r="K48" s="4"/>
      <c r="L48" s="4"/>
      <c r="M48" s="4"/>
      <c r="N48" s="4"/>
      <c r="O48" s="4">
        <v>20430</v>
      </c>
      <c r="Q48" s="13">
        <f>O48*$Q$15</f>
        <v>1115.812824015032</v>
      </c>
      <c r="R48" s="14"/>
      <c r="S48" s="1">
        <f>H48*24+I48+J48/60+K48/3600</f>
        <v>878.81666666666672</v>
      </c>
      <c r="T48" s="15">
        <f>Q15+(Q16-Q15)*(S48-S15)/(S16-S15)</f>
        <v>6.6363507399259253E-2</v>
      </c>
      <c r="U48" s="16">
        <f>O48*T48</f>
        <v>1355.8064561668666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36</v>
      </c>
      <c r="I49" s="4">
        <v>14</v>
      </c>
      <c r="J49" s="4">
        <v>51</v>
      </c>
      <c r="K49" s="4"/>
      <c r="L49" s="4"/>
      <c r="M49" s="4"/>
      <c r="N49" s="4"/>
      <c r="O49" s="4">
        <v>19618</v>
      </c>
      <c r="Q49" s="13">
        <f>O49*$Q$15</f>
        <v>1071.4643162764023</v>
      </c>
      <c r="R49" s="14"/>
      <c r="S49" s="1">
        <f>H49*24+I49+J49/60+K49/3600</f>
        <v>878.85</v>
      </c>
      <c r="T49" s="15">
        <f>Q15+(Q16-Q15)*(S49-S15)/(S16-S15)</f>
        <v>6.6496243202180963E-2</v>
      </c>
      <c r="U49" s="16">
        <f>O49*T49</f>
        <v>1304.5232991403861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36</v>
      </c>
      <c r="I50" s="4">
        <v>14</v>
      </c>
      <c r="J50" s="4">
        <v>53</v>
      </c>
      <c r="K50" s="4"/>
      <c r="L50" s="4"/>
      <c r="M50" s="4"/>
      <c r="N50" s="4"/>
      <c r="O50" s="4">
        <v>14528</v>
      </c>
      <c r="Q50" s="13">
        <f>O50*$Q$15</f>
        <v>793.46689707735607</v>
      </c>
      <c r="R50" s="14"/>
      <c r="S50" s="1">
        <f>H50*24+I50+J50/60+K50/3600</f>
        <v>878.88333333333333</v>
      </c>
      <c r="T50" s="15">
        <f>Q15+(Q16-Q15)*(S50-S15)/(S16-S15)</f>
        <v>6.6628979005102673E-2</v>
      </c>
      <c r="U50" s="16">
        <f>O50*T50</f>
        <v>967.98580698613159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36</v>
      </c>
      <c r="I51" s="4">
        <v>14</v>
      </c>
      <c r="J51" s="4">
        <v>54</v>
      </c>
      <c r="K51" s="4"/>
      <c r="L51" s="4"/>
      <c r="M51" s="4"/>
      <c r="N51" s="4"/>
      <c r="O51" s="4">
        <v>22099</v>
      </c>
      <c r="Q51" s="13">
        <f>O51*$Q$15</f>
        <v>1206.9675769901221</v>
      </c>
      <c r="R51" s="14"/>
      <c r="S51" s="1">
        <f>H51*24+I51+J51/60+K51/3600</f>
        <v>878.9</v>
      </c>
      <c r="T51" s="15">
        <f>Q15+(Q16-Q15)*(S51-S15)/(S16-S15)</f>
        <v>6.6695346906563535E-2</v>
      </c>
      <c r="U51" s="16">
        <f>O51*T51</f>
        <v>1473.9004712881476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36</v>
      </c>
      <c r="I52" s="4">
        <v>14</v>
      </c>
      <c r="J52" s="4">
        <v>56</v>
      </c>
      <c r="K52" s="4"/>
      <c r="L52" s="4"/>
      <c r="M52" s="4"/>
      <c r="N52" s="4"/>
      <c r="O52" s="4">
        <v>11656</v>
      </c>
      <c r="Q52" s="13">
        <f>O52*$Q$15</f>
        <v>636.60862832693158</v>
      </c>
      <c r="R52" s="14"/>
      <c r="S52" s="1">
        <f>H52*24+I52+J52/60+K52/3600</f>
        <v>878.93333333333328</v>
      </c>
      <c r="T52" s="15">
        <f>Q15+(Q16-Q15)*(S52-S15)/(S16-S15)</f>
        <v>6.6828082709485245E-2</v>
      </c>
      <c r="U52" s="16">
        <f>O52*T52</f>
        <v>778.94813206176002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36</v>
      </c>
      <c r="I53" s="4">
        <v>14</v>
      </c>
      <c r="J53" s="4">
        <v>58</v>
      </c>
      <c r="K53" s="4"/>
      <c r="L53" s="4"/>
      <c r="M53" s="4"/>
      <c r="N53" s="4"/>
      <c r="O53" s="4">
        <v>15302</v>
      </c>
      <c r="Q53" s="13">
        <f>O53*$Q$15</f>
        <v>835.7399820400401</v>
      </c>
      <c r="R53" s="14"/>
      <c r="S53" s="1">
        <f>H53*24+I53+J53/60+K53/3600</f>
        <v>878.9666666666667</v>
      </c>
      <c r="T53" s="15">
        <f>Q15+(Q16-Q15)*(S53-S15)/(S16-S15)</f>
        <v>6.69608185124074E-2</v>
      </c>
      <c r="U53" s="16">
        <f>O53*T53</f>
        <v>1024.634444876858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36</v>
      </c>
      <c r="I54" s="4">
        <v>14</v>
      </c>
      <c r="J54" s="4">
        <v>59</v>
      </c>
      <c r="K54" s="4">
        <v>0</v>
      </c>
      <c r="L54" s="4"/>
      <c r="M54" s="4"/>
      <c r="N54" s="4"/>
      <c r="O54" s="4">
        <v>12203</v>
      </c>
      <c r="Q54" s="13">
        <f>O54*$Q$15</f>
        <v>666.48379302278192</v>
      </c>
      <c r="R54" s="14"/>
      <c r="S54" s="1">
        <f>H54*24+I54+J54/60+K54/3600</f>
        <v>878.98333333333335</v>
      </c>
      <c r="T54" s="15">
        <f>Q15+(Q16-Q15)*(S54-S15)/(S16-S15)</f>
        <v>6.7027186413868262E-2</v>
      </c>
      <c r="U54" s="16">
        <f>O54*T54</f>
        <v>817.93275580843442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36</v>
      </c>
      <c r="I55" s="4">
        <v>15</v>
      </c>
      <c r="J55" s="4">
        <v>1</v>
      </c>
      <c r="K55" s="4"/>
      <c r="L55" s="4"/>
      <c r="M55" s="4"/>
      <c r="N55" s="4"/>
      <c r="O55" s="4">
        <v>11128</v>
      </c>
      <c r="Q55" s="13">
        <f>O55*$Q$15</f>
        <v>607.77117501905411</v>
      </c>
      <c r="R55" s="14"/>
      <c r="S55" s="1">
        <f>H55*24+I55+J55/60+K55/3600</f>
        <v>879.01666666666665</v>
      </c>
      <c r="T55" s="15">
        <f>Q15+(Q16-Q15)*(S55-S15)/(S16-S15)</f>
        <v>6.7159922216789972E-2</v>
      </c>
      <c r="U55" s="16">
        <f>O55*T55</f>
        <v>747.3556144284388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36</v>
      </c>
      <c r="I56" s="4">
        <v>15</v>
      </c>
      <c r="J56" s="4">
        <v>2</v>
      </c>
      <c r="K56" s="4"/>
      <c r="L56" s="4"/>
      <c r="M56" s="4"/>
      <c r="N56" s="4"/>
      <c r="O56" s="4">
        <v>7811</v>
      </c>
      <c r="Q56" s="13">
        <f>O56*$Q$15</f>
        <v>426.60861323452838</v>
      </c>
      <c r="R56" s="14"/>
      <c r="S56" s="1">
        <f>H56*24+I56+J56/60+K56/3600</f>
        <v>879.0333333333333</v>
      </c>
      <c r="T56" s="15">
        <f>Q15+(Q16-Q15)*(S56-S15)/(S16-S15)</f>
        <v>6.722629011825082E-2</v>
      </c>
      <c r="U56" s="16">
        <f>O56*T56</f>
        <v>525.10455211365718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36</v>
      </c>
      <c r="I57" s="4">
        <v>15</v>
      </c>
      <c r="J57" s="4">
        <v>4</v>
      </c>
      <c r="K57" s="4"/>
      <c r="L57" s="4"/>
      <c r="M57" s="4"/>
      <c r="N57" s="4"/>
      <c r="O57" s="4">
        <v>11210</v>
      </c>
      <c r="Q57" s="13">
        <f>O57*$Q$15</f>
        <v>612.24971890398967</v>
      </c>
      <c r="R57" s="14"/>
      <c r="S57" s="1">
        <f>H57*24+I57+J57/60+K57/3600</f>
        <v>879.06666666666672</v>
      </c>
      <c r="T57" s="15">
        <f>Q15+(Q16-Q15)*(S57-S15)/(S16-S15)</f>
        <v>6.7359025921172988E-2</v>
      </c>
      <c r="U57" s="16">
        <f>O57*T57</f>
        <v>755.09468057634922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36</v>
      </c>
      <c r="I58" s="4">
        <v>15</v>
      </c>
      <c r="J58" s="4">
        <v>5</v>
      </c>
      <c r="K58" s="4"/>
      <c r="L58" s="4"/>
      <c r="M58" s="4"/>
      <c r="N58" s="4"/>
      <c r="O58" s="4">
        <v>15707</v>
      </c>
      <c r="Q58" s="13">
        <f>O58*$Q$15</f>
        <v>857.85961952051434</v>
      </c>
      <c r="R58" s="14"/>
      <c r="S58" s="1">
        <f>H58*24+I58+J58/60+K58/3600</f>
        <v>879.08333333333337</v>
      </c>
      <c r="T58" s="15">
        <f>Q15+(Q16-Q15)*(S58-S15)/(S16-S15)</f>
        <v>6.742539382263385E-2</v>
      </c>
      <c r="U58" s="16">
        <f>O58*T58</f>
        <v>1059.0506607721099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36</v>
      </c>
      <c r="I59" s="4">
        <v>15</v>
      </c>
      <c r="J59" s="4">
        <v>7</v>
      </c>
      <c r="K59" s="4"/>
      <c r="L59" s="4"/>
      <c r="M59" s="4"/>
      <c r="N59" s="4"/>
      <c r="O59" s="4">
        <v>20710</v>
      </c>
      <c r="Q59" s="13">
        <f>O59*$Q$15</f>
        <v>1131.1054128904216</v>
      </c>
      <c r="R59" s="14"/>
      <c r="S59" s="1">
        <f>H59*24+I59+J59/60+K59/3600</f>
        <v>879.11666666666667</v>
      </c>
      <c r="T59" s="15">
        <f>Q15+(Q16-Q15)*(S59-S15)/(S16-S15)</f>
        <v>6.7558129625555546E-2</v>
      </c>
      <c r="U59" s="16">
        <f>O59*T59</f>
        <v>1399.1288645452553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36</v>
      </c>
      <c r="I60" s="4">
        <v>15</v>
      </c>
      <c r="J60" s="4">
        <v>8</v>
      </c>
      <c r="K60" s="4"/>
      <c r="L60" s="4"/>
      <c r="M60" s="4"/>
      <c r="N60" s="4"/>
      <c r="O60" s="4">
        <v>484898</v>
      </c>
      <c r="Q60" s="13">
        <f>O60*$Q$15</f>
        <v>26483.377716066618</v>
      </c>
      <c r="R60" s="14"/>
      <c r="S60" s="1">
        <f>H60*24+I60+J60/60+K60/3600</f>
        <v>879.13333333333333</v>
      </c>
      <c r="T60" s="15">
        <f>Q15+(Q16-Q15)*(S60-S15)/(S16-S15)</f>
        <v>6.7624497527016408E-2</v>
      </c>
      <c r="U60" s="16">
        <f>O60*T60</f>
        <v>32790.983601855201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36</v>
      </c>
      <c r="I61" s="4">
        <v>11</v>
      </c>
      <c r="J61" s="4">
        <v>56</v>
      </c>
      <c r="K61" s="4"/>
      <c r="L61" s="4"/>
      <c r="M61" s="4"/>
      <c r="N61" s="4"/>
      <c r="O61" s="4">
        <v>14202</v>
      </c>
      <c r="Q61" s="13">
        <f>O61*$Q$15</f>
        <v>775.66195431529536</v>
      </c>
      <c r="R61" s="14"/>
      <c r="S61" s="1">
        <f>H61*24+I61+J61/60+K61/3600</f>
        <v>875.93333333333328</v>
      </c>
      <c r="T61" s="15">
        <f>Q15+(Q16-Q15)*(S61-S15)/(S16-S15)</f>
        <v>5.4881860446520464E-2</v>
      </c>
      <c r="U61" s="16">
        <f>O61*T61</f>
        <v>779.43218206148367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36</v>
      </c>
      <c r="I62" s="4">
        <v>11</v>
      </c>
      <c r="J62" s="4">
        <v>58</v>
      </c>
      <c r="K62" s="4"/>
      <c r="L62" s="4"/>
      <c r="M62" s="4"/>
      <c r="N62" s="4"/>
      <c r="O62" s="4">
        <v>20042</v>
      </c>
      <c r="Q62" s="13">
        <f>O62*$Q$15</f>
        <v>1094.6216651448492</v>
      </c>
      <c r="R62" s="14"/>
      <c r="S62" s="1">
        <f>H62*24+I62+J62/60+K62/3600</f>
        <v>875.9666666666667</v>
      </c>
      <c r="T62" s="15">
        <f>Q15+(Q16-Q15)*(S62-S15)/(S16-S15)</f>
        <v>5.5014596249442625E-2</v>
      </c>
      <c r="U62" s="16">
        <f>O62*T62</f>
        <v>1102.602538031329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36</v>
      </c>
      <c r="I63" s="4">
        <v>12</v>
      </c>
      <c r="J63" s="4">
        <v>1</v>
      </c>
      <c r="K63" s="4"/>
      <c r="L63" s="4"/>
      <c r="M63" s="4"/>
      <c r="N63" s="4"/>
      <c r="O63" s="4">
        <v>16829</v>
      </c>
      <c r="Q63" s="13">
        <f>O63*$Q$15</f>
        <v>919.13920779975399</v>
      </c>
      <c r="R63" s="14"/>
      <c r="S63" s="1">
        <f>H63*24+I63+J63/60+K63/3600</f>
        <v>876.01666666666665</v>
      </c>
      <c r="T63" s="15">
        <f>Q15+(Q16-Q15)*(S63-S15)/(S16-S15)</f>
        <v>5.521369995382519E-2</v>
      </c>
      <c r="U63" s="16">
        <f>O63*T63</f>
        <v>929.19135652292414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36</v>
      </c>
      <c r="I64" s="4">
        <v>12</v>
      </c>
      <c r="J64" s="4">
        <v>3</v>
      </c>
      <c r="K64" s="4"/>
      <c r="L64" s="4"/>
      <c r="M64" s="4"/>
      <c r="N64" s="4"/>
      <c r="O64" s="4">
        <v>14566</v>
      </c>
      <c r="Q64" s="13">
        <f>O64*$Q$15</f>
        <v>795.54231985330182</v>
      </c>
      <c r="R64" s="14"/>
      <c r="S64" s="1">
        <f>H64*24+I64+J64/60+K64/3600</f>
        <v>876.05</v>
      </c>
      <c r="T64" s="15">
        <f>Q15+(Q16-Q15)*(S64-S15)/(S16-S15)</f>
        <v>5.5346435756746901E-2</v>
      </c>
      <c r="U64" s="16">
        <f>O64*T64</f>
        <v>806.17618323277532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36</v>
      </c>
      <c r="I65" s="4">
        <v>12</v>
      </c>
      <c r="J65" s="4">
        <v>5</v>
      </c>
      <c r="K65" s="4"/>
      <c r="L65" s="4"/>
      <c r="M65" s="4"/>
      <c r="N65" s="4"/>
      <c r="O65" s="4">
        <v>25016</v>
      </c>
      <c r="Q65" s="13">
        <f>O65*$Q$15</f>
        <v>1366.2835832383769</v>
      </c>
      <c r="R65" s="14"/>
      <c r="S65" s="1">
        <f>H65*24+I65+J65/60+K65/3600</f>
        <v>876.08333333333337</v>
      </c>
      <c r="T65" s="15">
        <f>Q15+(Q16-Q15)*(S65-S15)/(S16-S15)</f>
        <v>5.5479171559669062E-2</v>
      </c>
      <c r="U65" s="16">
        <f>O65*T65</f>
        <v>1387.8669557366813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36</v>
      </c>
      <c r="I66" s="4">
        <v>12</v>
      </c>
      <c r="J66" s="4">
        <v>7</v>
      </c>
      <c r="K66" s="4"/>
      <c r="L66" s="4"/>
      <c r="M66" s="4"/>
      <c r="N66" s="4"/>
      <c r="O66" s="4">
        <v>17400</v>
      </c>
      <c r="Q66" s="13">
        <f>O66*$Q$15</f>
        <v>950.32516582778055</v>
      </c>
      <c r="R66" s="14"/>
      <c r="S66" s="1">
        <f>H66*24+I66+J66/60+K66/3600</f>
        <v>876.11666666666667</v>
      </c>
      <c r="T66" s="15">
        <f>Q15+(Q16-Q15)*(S66-S15)/(S16-S15)</f>
        <v>5.5611907362590772E-2</v>
      </c>
      <c r="U66" s="16">
        <f>O66*T66</f>
        <v>967.64718810907948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36</v>
      </c>
      <c r="I67" s="4">
        <v>12</v>
      </c>
      <c r="J67" s="4">
        <v>9</v>
      </c>
      <c r="K67" s="4"/>
      <c r="L67" s="4"/>
      <c r="M67" s="4"/>
      <c r="N67" s="4"/>
      <c r="O67" s="4">
        <v>18582</v>
      </c>
      <c r="Q67" s="13">
        <f>O67*$Q$15</f>
        <v>1014.8817374374609</v>
      </c>
      <c r="R67" s="14"/>
      <c r="S67" s="1">
        <f>H67*24+I67+J67/60+K67/3600</f>
        <v>876.15</v>
      </c>
      <c r="T67" s="15">
        <f>Q15+(Q16-Q15)*(S67-S15)/(S16-S15)</f>
        <v>5.5744643165512482E-2</v>
      </c>
      <c r="U67" s="16">
        <f>O67*T67</f>
        <v>1035.8469593015529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36</v>
      </c>
      <c r="I68" s="4">
        <v>12</v>
      </c>
      <c r="J68" s="4">
        <v>11</v>
      </c>
      <c r="K68" s="4"/>
      <c r="L68" s="4"/>
      <c r="M68" s="4"/>
      <c r="N68" s="4"/>
      <c r="O68" s="4">
        <v>13104</v>
      </c>
      <c r="Q68" s="13">
        <f>O68*$Q$15</f>
        <v>715.69315936823193</v>
      </c>
      <c r="R68" s="14"/>
      <c r="S68" s="1">
        <f>H68*24+I68+J68/60+K68/3600</f>
        <v>876.18333333333328</v>
      </c>
      <c r="T68" s="15">
        <f>Q15+(Q16-Q15)*(S68-S15)/(S16-S15)</f>
        <v>5.5877378968434192E-2</v>
      </c>
      <c r="U68" s="16">
        <f>O68*T68</f>
        <v>732.21717400236162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36</v>
      </c>
      <c r="I69" s="4">
        <v>12</v>
      </c>
      <c r="J69" s="4">
        <v>13</v>
      </c>
      <c r="K69" s="4"/>
      <c r="L69" s="4"/>
      <c r="M69" s="4"/>
      <c r="N69" s="4"/>
      <c r="O69" s="4">
        <v>12955</v>
      </c>
      <c r="Q69" s="13">
        <f>O69*$Q$15</f>
        <v>707.55531743097106</v>
      </c>
      <c r="R69" s="14"/>
      <c r="S69" s="1">
        <f>H69*24+I69+J69/60+K69/3600</f>
        <v>876.2166666666667</v>
      </c>
      <c r="T69" s="15">
        <f>Q15+(Q16-Q15)*(S69-S15)/(S16-S15)</f>
        <v>5.601011477135636E-2</v>
      </c>
      <c r="U69" s="16">
        <f>O69*T69</f>
        <v>725.61103686292165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36</v>
      </c>
      <c r="I70" s="4">
        <v>12</v>
      </c>
      <c r="J70" s="4">
        <v>15</v>
      </c>
      <c r="K70" s="4"/>
      <c r="L70" s="4"/>
      <c r="M70" s="4"/>
      <c r="N70" s="4"/>
      <c r="O70" s="4">
        <v>13277</v>
      </c>
      <c r="Q70" s="13">
        <f>O70*$Q$15</f>
        <v>725.14179463766914</v>
      </c>
      <c r="R70" s="14"/>
      <c r="S70" s="1">
        <f>H70*24+I70+J70/60+K70/3600</f>
        <v>876.25</v>
      </c>
      <c r="T70" s="15">
        <f>Q15+(Q16-Q15)*(S70-S15)/(S16-S15)</f>
        <v>5.6142850574278071E-2</v>
      </c>
      <c r="U70" s="16">
        <f>O70*T70</f>
        <v>745.40862707468989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36</v>
      </c>
      <c r="I71" s="4">
        <v>12</v>
      </c>
      <c r="J71" s="4">
        <v>17</v>
      </c>
      <c r="K71" s="4"/>
      <c r="L71" s="4"/>
      <c r="M71" s="4"/>
      <c r="N71" s="4"/>
      <c r="O71" s="4">
        <v>16925</v>
      </c>
      <c r="Q71" s="13">
        <f>O71*$Q$15</f>
        <v>924.38238112845897</v>
      </c>
      <c r="R71" s="14"/>
      <c r="S71" s="1">
        <f>H71*24+I71+J71/60+K71/3600</f>
        <v>876.2833333333333</v>
      </c>
      <c r="T71" s="15">
        <f>Q15+(Q16-Q15)*(S71-S15)/(S16-S15)</f>
        <v>5.6275586377199781E-2</v>
      </c>
      <c r="U71" s="16">
        <f>O71*T71</f>
        <v>952.46429943410624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36</v>
      </c>
      <c r="I72" s="4">
        <v>12</v>
      </c>
      <c r="J72" s="4">
        <v>20</v>
      </c>
      <c r="K72" s="4"/>
      <c r="L72" s="4"/>
      <c r="M72" s="4"/>
      <c r="N72" s="4"/>
      <c r="O72" s="4">
        <v>16288</v>
      </c>
      <c r="Q72" s="13">
        <f>O72*$Q$15</f>
        <v>889.5917414369477</v>
      </c>
      <c r="R72" s="14"/>
      <c r="S72" s="1">
        <f>H72*24+I72+J72/60+K72/3600</f>
        <v>876.33333333333337</v>
      </c>
      <c r="T72" s="15">
        <f>Q15+(Q16-Q15)*(S72-S15)/(S16-S15)</f>
        <v>5.6474690081582797E-2</v>
      </c>
      <c r="U72" s="16">
        <f>O72*T72</f>
        <v>919.85975204882061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36</v>
      </c>
      <c r="I73" s="4">
        <v>12</v>
      </c>
      <c r="J73" s="29">
        <v>22</v>
      </c>
      <c r="K73" s="29"/>
      <c r="L73" s="29"/>
      <c r="M73" s="29"/>
      <c r="N73" s="29"/>
      <c r="O73" s="4">
        <v>16570</v>
      </c>
      <c r="P73" s="2"/>
      <c r="Q73" s="30">
        <f>O73*$Q$15</f>
        <v>904.9935630900186</v>
      </c>
      <c r="R73" s="31"/>
      <c r="S73" s="2">
        <f>H73*24+I73+J73/60+K73/3600</f>
        <v>876.36666666666667</v>
      </c>
      <c r="T73" s="32">
        <f>Q15+(Q16-Q15)*(S73-S15)/(S16-S15)</f>
        <v>5.6607425884504507E-2</v>
      </c>
      <c r="U73" s="33">
        <f>O73*T73</f>
        <v>937.98504690623963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36</v>
      </c>
      <c r="I74" s="4">
        <v>12</v>
      </c>
      <c r="J74" s="4">
        <v>24</v>
      </c>
      <c r="K74" s="4"/>
      <c r="L74" s="4"/>
      <c r="M74" s="4"/>
      <c r="N74" s="4"/>
      <c r="O74" s="4">
        <v>147570</v>
      </c>
      <c r="Q74" s="13">
        <f>O74*$Q$15</f>
        <v>8059.740501218711</v>
      </c>
      <c r="R74" s="14"/>
      <c r="S74" s="1">
        <f>H74*24+I74+J74/60+K74/3600</f>
        <v>876.4</v>
      </c>
      <c r="T74" s="15">
        <f>Q15+(Q16-Q15)*(S74-S15)/(S16-S15)</f>
        <v>5.6740161687426217E-2</v>
      </c>
      <c r="U74" s="16">
        <f>O74*T74</f>
        <v>8373.1456602134876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36</v>
      </c>
      <c r="I75" s="4">
        <v>12</v>
      </c>
      <c r="J75" s="4">
        <v>35</v>
      </c>
      <c r="K75" s="4"/>
      <c r="L75" s="4"/>
      <c r="M75" s="4"/>
      <c r="N75" s="4"/>
      <c r="O75" s="4">
        <v>28154</v>
      </c>
      <c r="Q75" s="13">
        <f>O75*$Q$15</f>
        <v>1537.6698114204214</v>
      </c>
      <c r="R75" s="14"/>
      <c r="S75" s="1">
        <f>H75*24+I75+J75/60+K75/3600</f>
        <v>876.58333333333337</v>
      </c>
      <c r="T75" s="15">
        <f>Q15+(Q16-Q15)*(S75-S15)/(S16-S15)</f>
        <v>5.7470208603496525E-2</v>
      </c>
      <c r="U75" s="16">
        <f>O75*T75</f>
        <v>1618.0162530228413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36</v>
      </c>
      <c r="I76" s="4">
        <v>12</v>
      </c>
      <c r="J76" s="4">
        <v>37</v>
      </c>
      <c r="K76" s="4"/>
      <c r="L76" s="4"/>
      <c r="M76" s="4"/>
      <c r="N76" s="4"/>
      <c r="O76" s="4">
        <v>33898</v>
      </c>
      <c r="Q76" s="13">
        <f>O76*$Q$15</f>
        <v>1851.3863489212704</v>
      </c>
      <c r="R76" s="14"/>
      <c r="S76" s="1">
        <f>H76*24+I76+J76/60+K76/3600</f>
        <v>876.61666666666667</v>
      </c>
      <c r="T76" s="15">
        <f>Q15+(Q16-Q15)*(S76-S15)/(S16-S15)</f>
        <v>5.7602944406418236E-2</v>
      </c>
      <c r="U76" s="16">
        <f>O76*T76</f>
        <v>1952.6246094887654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36</v>
      </c>
      <c r="I77" s="4">
        <v>12</v>
      </c>
      <c r="J77" s="4">
        <v>39</v>
      </c>
      <c r="K77" s="4"/>
      <c r="L77" s="4"/>
      <c r="M77" s="4"/>
      <c r="N77" s="4"/>
      <c r="O77" s="4">
        <v>29869</v>
      </c>
      <c r="Q77" s="13">
        <f>O77*$Q$15</f>
        <v>1631.3369182821825</v>
      </c>
      <c r="R77" s="14"/>
      <c r="S77" s="1">
        <f>H77*24+I77+J77/60+K77/3600</f>
        <v>876.65</v>
      </c>
      <c r="T77" s="15">
        <f>Q15+(Q16-Q15)*(S77-S15)/(S16-S15)</f>
        <v>5.7735680209339946E-2</v>
      </c>
      <c r="U77" s="16">
        <f>O77*T77</f>
        <v>1724.5070321727749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36</v>
      </c>
      <c r="I78" s="4">
        <v>12</v>
      </c>
      <c r="J78" s="4">
        <v>42</v>
      </c>
      <c r="K78" s="4"/>
      <c r="L78" s="4"/>
      <c r="M78" s="4"/>
      <c r="N78" s="4"/>
      <c r="O78" s="4">
        <v>32342</v>
      </c>
      <c r="Q78" s="13">
        <f>O78*$Q$15</f>
        <v>1766.4032478851771</v>
      </c>
      <c r="R78" s="14"/>
      <c r="S78" s="1">
        <f>H78*24+I78+J78/60+K78/3600</f>
        <v>876.7</v>
      </c>
      <c r="T78" s="15">
        <f>Q15+(Q16-Q15)*(S78-S15)/(S16-S15)</f>
        <v>5.7934783913722969E-2</v>
      </c>
      <c r="U78" s="16">
        <f>O78*T78</f>
        <v>1873.7267813376282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36</v>
      </c>
      <c r="I79" s="4">
        <v>12</v>
      </c>
      <c r="J79" s="4">
        <v>45</v>
      </c>
      <c r="K79" s="4"/>
      <c r="L79" s="4"/>
      <c r="M79" s="4"/>
      <c r="N79" s="4"/>
      <c r="O79" s="4">
        <v>43750</v>
      </c>
      <c r="Q79" s="13">
        <f>O79*$Q$15</f>
        <v>2389.4670117796209</v>
      </c>
      <c r="R79" s="14"/>
      <c r="S79" s="1">
        <f>H79*24+I79+J79/60+K79/3600</f>
        <v>876.75</v>
      </c>
      <c r="T79" s="15">
        <f>Q15+(Q16-Q15)*(S79-S15)/(S16-S15)</f>
        <v>5.8133887618105534E-2</v>
      </c>
      <c r="U79" s="16">
        <f>O79*T79</f>
        <v>2543.3575832921169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36</v>
      </c>
      <c r="I80" s="4">
        <v>12</v>
      </c>
      <c r="J80" s="4">
        <v>46</v>
      </c>
      <c r="K80" s="4"/>
      <c r="L80" s="4"/>
      <c r="M80" s="4"/>
      <c r="N80" s="4"/>
      <c r="O80" s="4">
        <v>29686</v>
      </c>
      <c r="Q80" s="13">
        <f>O80*$Q$15</f>
        <v>1621.3421191243388</v>
      </c>
      <c r="R80" s="14"/>
      <c r="S80" s="1">
        <f>H80*24+I80+J80/60+K80/3600</f>
        <v>876.76666666666665</v>
      </c>
      <c r="T80" s="15">
        <f>Q15+(Q16-Q15)*(S80-S15)/(S16-S15)</f>
        <v>5.8200255519566389E-2</v>
      </c>
      <c r="U80" s="16">
        <f>O80*T80</f>
        <v>1727.7327853538479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36</v>
      </c>
      <c r="I81" s="4">
        <v>12</v>
      </c>
      <c r="J81" s="4">
        <v>48</v>
      </c>
      <c r="K81" s="4"/>
      <c r="L81" s="4"/>
      <c r="M81" s="4"/>
      <c r="N81" s="4"/>
      <c r="O81" s="4">
        <v>24966</v>
      </c>
      <c r="Q81" s="13">
        <f>O81*$Q$15</f>
        <v>1363.552763796343</v>
      </c>
      <c r="R81" s="14"/>
      <c r="S81" s="1">
        <f>H81*24+I81+J81/60+K81/3600</f>
        <v>876.8</v>
      </c>
      <c r="T81" s="15">
        <f>Q15+(Q16-Q15)*(S81-S15)/(S16-S15)</f>
        <v>5.8332991322488099E-2</v>
      </c>
      <c r="U81" s="33">
        <f>O81*T81</f>
        <v>1456.3414613572379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36</v>
      </c>
      <c r="I82" s="4">
        <v>12</v>
      </c>
      <c r="J82" s="4">
        <v>50</v>
      </c>
      <c r="K82" s="4"/>
      <c r="L82" s="4"/>
      <c r="M82" s="4"/>
      <c r="N82" s="4"/>
      <c r="O82" s="4">
        <v>19427</v>
      </c>
      <c r="Q82" s="13">
        <f>O82*$Q$15</f>
        <v>1061.0325860078328</v>
      </c>
      <c r="R82" s="14"/>
      <c r="S82" s="1">
        <f>H82*24+I82+J82/60+K82/3600</f>
        <v>876.83333333333337</v>
      </c>
      <c r="T82" s="15">
        <f>Q15+(Q16-Q15)*(S82-S15)/(S16-S15)</f>
        <v>5.8465727125410261E-2</v>
      </c>
      <c r="U82" s="16">
        <f>O82*T82</f>
        <v>1135.8136808653451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36</v>
      </c>
      <c r="I83" s="4">
        <v>12</v>
      </c>
      <c r="J83" s="4">
        <v>52</v>
      </c>
      <c r="K83" s="4"/>
      <c r="L83" s="4"/>
      <c r="M83" s="4"/>
      <c r="N83" s="4"/>
      <c r="O83" s="4">
        <v>26800</v>
      </c>
      <c r="Q83" s="13">
        <f>O83*$Q$15</f>
        <v>1463.7192209301447</v>
      </c>
      <c r="R83" s="14"/>
      <c r="S83" s="1">
        <f>H83*24+I83+J83/60+K83/3600</f>
        <v>876.86666666666667</v>
      </c>
      <c r="T83" s="15">
        <f>Q15+(Q16-Q15)*(S83-S15)/(S16-S15)</f>
        <v>5.8598462928331971E-2</v>
      </c>
      <c r="U83" s="16">
        <f>O83*T83</f>
        <v>1570.4388064792968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36</v>
      </c>
      <c r="I84" s="4">
        <v>12</v>
      </c>
      <c r="J84" s="4">
        <v>56</v>
      </c>
      <c r="K84" s="4"/>
      <c r="L84" s="4"/>
      <c r="M84" s="4"/>
      <c r="N84" s="4"/>
      <c r="O84" s="4">
        <v>40176</v>
      </c>
      <c r="Q84" s="13">
        <f>O84*$Q$15</f>
        <v>2194.2680380630409</v>
      </c>
      <c r="R84" s="14"/>
      <c r="S84" s="1">
        <f>H84*24+I84+J84/60+K84/3600</f>
        <v>876.93333333333328</v>
      </c>
      <c r="T84" s="15">
        <f>Q15+(Q16-Q15)*(S84-S15)/(S16-S15)</f>
        <v>5.8863934534175391E-2</v>
      </c>
      <c r="U84" s="16">
        <f>O84*T84</f>
        <v>2364.9174338450307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36</v>
      </c>
      <c r="I85" s="4">
        <v>13</v>
      </c>
      <c r="J85" s="4">
        <v>0</v>
      </c>
      <c r="K85" s="4"/>
      <c r="L85" s="4"/>
      <c r="M85" s="4"/>
      <c r="N85" s="4"/>
      <c r="O85" s="4">
        <v>52088</v>
      </c>
      <c r="Q85" s="13">
        <f>O85*$Q$15</f>
        <v>2844.8584619331859</v>
      </c>
      <c r="R85" s="14"/>
      <c r="S85" s="1">
        <f>H85*24+I85+J85/60+K85/3600</f>
        <v>877</v>
      </c>
      <c r="T85" s="15">
        <f>Q$15+(Q$16-Q$15)*(S85-S$15)/(S$16-S$15)</f>
        <v>5.9129406140019262E-2</v>
      </c>
      <c r="U85" s="16">
        <f>O85*T85</f>
        <v>3079.9325070213235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36</v>
      </c>
      <c r="I86" s="4">
        <v>13</v>
      </c>
      <c r="J86" s="4">
        <v>1</v>
      </c>
      <c r="K86" s="4"/>
      <c r="L86" s="4"/>
      <c r="M86" s="4"/>
      <c r="N86" s="4"/>
      <c r="O86" s="4">
        <v>30480</v>
      </c>
      <c r="Q86" s="13">
        <f>O86*$Q$15</f>
        <v>1664.7075318638363</v>
      </c>
      <c r="R86" s="14"/>
      <c r="S86" s="1">
        <f>H86*24+I86+J86/60+K86/3600</f>
        <v>877.01666666666665</v>
      </c>
      <c r="T86" s="15">
        <f>Q$15+(Q$16-Q$15)*(S86-S$15)/(S$16-S$15)</f>
        <v>5.9195774041480118E-2</v>
      </c>
      <c r="U86" s="16">
        <f>O86*T86</f>
        <v>1804.2871927843139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36</v>
      </c>
      <c r="I87" s="4">
        <v>13</v>
      </c>
      <c r="J87" s="29">
        <v>4</v>
      </c>
      <c r="K87" s="29"/>
      <c r="L87" s="29"/>
      <c r="M87" s="29"/>
      <c r="N87" s="29"/>
      <c r="O87" s="4">
        <v>25706</v>
      </c>
      <c r="P87" s="2"/>
      <c r="Q87" s="30">
        <f>O87*$Q$15</f>
        <v>1403.968891538444</v>
      </c>
      <c r="R87" s="31"/>
      <c r="S87" s="2">
        <f>H87*24+I87+J87/60+K87/3600</f>
        <v>877.06666666666672</v>
      </c>
      <c r="T87" s="15">
        <f>Q$15+(Q$16-Q$15)*(S87-S$15)/(S$16-S$15)</f>
        <v>5.9394877745863134E-2</v>
      </c>
      <c r="U87" s="16">
        <f>O87*T87</f>
        <v>1526.8047273351576</v>
      </c>
    </row>
    <row r="88" spans="1:21">
      <c r="C88" s="18">
        <v>70</v>
      </c>
      <c r="F88" s="4">
        <v>2013</v>
      </c>
      <c r="G88" s="4">
        <v>8</v>
      </c>
      <c r="H88" s="4">
        <v>36</v>
      </c>
      <c r="I88" s="4">
        <v>13</v>
      </c>
      <c r="J88" s="1">
        <v>4</v>
      </c>
      <c r="O88" s="4">
        <v>661463</v>
      </c>
      <c r="Q88" s="34">
        <f>O88*$Q$15</f>
        <v>36126.720411720758</v>
      </c>
      <c r="S88" s="1">
        <f>H88*24+I88+J88/60+K88/3600</f>
        <v>877.06666666666672</v>
      </c>
      <c r="T88" s="15">
        <f>Q$15+(Q$16-Q$15)*(S88-S$15)/(S$16-S$15)</f>
        <v>5.9394877745863134E-2</v>
      </c>
      <c r="U88" s="16">
        <f>O88*T88</f>
        <v>39287.514018411865</v>
      </c>
    </row>
    <row r="89" spans="1:21" ht="15.75">
      <c r="C89">
        <v>71</v>
      </c>
      <c r="F89" s="4">
        <v>2013</v>
      </c>
      <c r="G89" s="4">
        <v>8</v>
      </c>
      <c r="H89" s="4">
        <v>36</v>
      </c>
      <c r="I89" s="4">
        <v>13</v>
      </c>
      <c r="J89" s="1">
        <v>15</v>
      </c>
      <c r="O89" s="6">
        <v>22211</v>
      </c>
      <c r="Q89" s="34">
        <f>O89*$Q$15</f>
        <v>1213.0846125402779</v>
      </c>
      <c r="S89" s="1">
        <f>H89*24+I89+J89/60+K89/3600</f>
        <v>877.25</v>
      </c>
      <c r="T89" s="15">
        <f>Q$15+(Q$16-Q$15)*(S89-S$15)/(S$16-S$15)</f>
        <v>6.0124924661932991E-2</v>
      </c>
      <c r="U89" s="33">
        <f>O89*T89</f>
        <v>1335.4347016661936</v>
      </c>
    </row>
    <row r="90" spans="1:21">
      <c r="C90" s="18">
        <v>72</v>
      </c>
      <c r="F90" s="4">
        <v>2013</v>
      </c>
      <c r="G90" s="4">
        <v>8</v>
      </c>
      <c r="H90" s="4">
        <v>36</v>
      </c>
      <c r="I90" s="4">
        <v>13</v>
      </c>
      <c r="J90" s="1">
        <v>17</v>
      </c>
      <c r="O90" s="4">
        <v>24051</v>
      </c>
      <c r="Q90" s="34">
        <f>O90*$Q$15</f>
        <v>1313.5787680071235</v>
      </c>
      <c r="S90" s="1">
        <f>H90*24+I90+J90/60+K90/3600</f>
        <v>877.2833333333333</v>
      </c>
      <c r="T90" s="15">
        <f>Q$15+(Q$16-Q$15)*(S90-S$15)/(S$16-S$15)</f>
        <v>6.0257660464854708E-2</v>
      </c>
      <c r="U90" s="16">
        <f>O90*T90</f>
        <v>1449.2569918402205</v>
      </c>
    </row>
    <row r="91" spans="1:21">
      <c r="C91" s="18">
        <v>73</v>
      </c>
      <c r="F91" s="4">
        <v>2013</v>
      </c>
      <c r="G91" s="4">
        <v>8</v>
      </c>
      <c r="H91" s="4">
        <v>36</v>
      </c>
      <c r="I91" s="4">
        <v>13</v>
      </c>
      <c r="J91" s="1">
        <v>20</v>
      </c>
      <c r="O91" s="4">
        <v>22582</v>
      </c>
      <c r="Q91" s="34">
        <f>O91*$Q$15</f>
        <v>1233.347292800169</v>
      </c>
      <c r="S91" s="1">
        <f>H91*24+I91+J91/60+K91/3600</f>
        <v>877.33333333333337</v>
      </c>
      <c r="T91" s="15">
        <f>Q$15+(Q$16-Q$15)*(S91-S$15)/(S$16-S$15)</f>
        <v>6.0456764169237724E-2</v>
      </c>
      <c r="U91" s="16">
        <f>O91*T91</f>
        <v>1365.2346484697264</v>
      </c>
    </row>
    <row r="92" spans="1:21">
      <c r="C92">
        <v>74</v>
      </c>
      <c r="F92" s="4">
        <v>2013</v>
      </c>
      <c r="G92" s="4">
        <v>8</v>
      </c>
      <c r="H92" s="4">
        <v>36</v>
      </c>
      <c r="I92" s="4">
        <v>13</v>
      </c>
      <c r="J92" s="1">
        <v>22</v>
      </c>
      <c r="O92" s="6">
        <v>23536</v>
      </c>
      <c r="Q92" s="34">
        <f>O92*$Q$15</f>
        <v>1285.4513277541748</v>
      </c>
      <c r="S92" s="1">
        <f>H92*24+I92+J92/60+K92/3600</f>
        <v>877.36666666666667</v>
      </c>
      <c r="T92" s="15">
        <f>Q$15+(Q$16-Q$15)*(S92-S$15)/(S$16-S$15)</f>
        <v>6.0589499972159434E-2</v>
      </c>
      <c r="U92" s="16">
        <f>O92*T92</f>
        <v>1426.0344713447444</v>
      </c>
    </row>
    <row r="93" spans="1:21">
      <c r="C93" s="18">
        <v>75</v>
      </c>
      <c r="F93" s="4">
        <v>2013</v>
      </c>
      <c r="G93" s="4">
        <v>8</v>
      </c>
      <c r="H93" s="4">
        <v>36</v>
      </c>
      <c r="I93" s="4">
        <v>13</v>
      </c>
      <c r="J93" s="1">
        <v>24</v>
      </c>
      <c r="O93" s="4">
        <v>22928</v>
      </c>
      <c r="Q93" s="34">
        <f>O93*$Q$15</f>
        <v>1252.2445633390432</v>
      </c>
      <c r="S93" s="1">
        <f>H93*24+I93+J93/60+K93/3600</f>
        <v>877.4</v>
      </c>
      <c r="T93" s="15">
        <f>Q$15+(Q$16-Q$15)*(S93-S$15)/(S$16-S$15)</f>
        <v>6.0722235775081145E-2</v>
      </c>
      <c r="U93" s="16">
        <f>O93*T93</f>
        <v>1392.2394218510606</v>
      </c>
    </row>
    <row r="94" spans="1:21">
      <c r="C94" s="18">
        <v>76</v>
      </c>
      <c r="F94" s="4">
        <v>2013</v>
      </c>
      <c r="G94" s="4">
        <v>8</v>
      </c>
      <c r="H94" s="4">
        <v>36</v>
      </c>
      <c r="I94" s="4">
        <v>13</v>
      </c>
      <c r="J94" s="1">
        <v>27</v>
      </c>
      <c r="O94" s="4">
        <v>19042</v>
      </c>
      <c r="Q94" s="34">
        <f>O94*$Q$15</f>
        <v>1040.0052763041722</v>
      </c>
      <c r="S94" s="1">
        <f>H94*24+I94+J94/60+K94/3600</f>
        <v>877.45</v>
      </c>
      <c r="T94" s="15">
        <f>Q$15+(Q$16-Q$15)*(S94-S$15)/(S$16-S$15)</f>
        <v>6.0921339479464161E-2</v>
      </c>
      <c r="U94" s="16">
        <f>O94*T94</f>
        <v>1160.0641463679565</v>
      </c>
    </row>
    <row r="95" spans="1:21">
      <c r="C95">
        <v>77</v>
      </c>
      <c r="F95" s="4">
        <v>2013</v>
      </c>
      <c r="G95" s="4">
        <v>8</v>
      </c>
      <c r="H95" s="4">
        <v>36</v>
      </c>
      <c r="I95" s="4">
        <v>13</v>
      </c>
      <c r="J95" s="1">
        <v>29</v>
      </c>
      <c r="O95" s="4">
        <v>17501</v>
      </c>
      <c r="Q95" s="34">
        <f>O95*$Q$15</f>
        <v>955.84142110068899</v>
      </c>
      <c r="S95" s="1">
        <f>H95*24+I95+J95/60+K95/3600</f>
        <v>877.48333333333335</v>
      </c>
      <c r="T95" s="15">
        <f>Q$15+(Q$16-Q$15)*(S95-S$15)/(S$16-S$15)</f>
        <v>6.1054075282385871E-2</v>
      </c>
      <c r="U95" s="16">
        <f>O95*T95</f>
        <v>1068.5073715170352</v>
      </c>
    </row>
    <row r="96" spans="1:21">
      <c r="C96" s="18">
        <v>78</v>
      </c>
      <c r="F96" s="4">
        <v>2013</v>
      </c>
      <c r="G96" s="4">
        <v>8</v>
      </c>
      <c r="H96" s="4">
        <v>36</v>
      </c>
      <c r="I96" s="4">
        <v>13</v>
      </c>
      <c r="J96" s="1">
        <v>31</v>
      </c>
      <c r="O96" s="4">
        <v>16981</v>
      </c>
      <c r="Q96" s="34">
        <f>O96*$Q$15</f>
        <v>927.44089890353689</v>
      </c>
      <c r="S96" s="1">
        <f>H96*24+I96+J96/60+K96/3600</f>
        <v>877.51666666666665</v>
      </c>
      <c r="T96" s="15">
        <f>Q$15+(Q$16-Q$15)*(S96-S$15)/(S$16-S$15)</f>
        <v>6.1186811085307581E-2</v>
      </c>
      <c r="U96" s="16">
        <f>O96*T96</f>
        <v>1039.0132390396079</v>
      </c>
    </row>
    <row r="97" spans="3:21" ht="15.75">
      <c r="C97" s="18">
        <v>79</v>
      </c>
      <c r="F97" s="4">
        <v>2013</v>
      </c>
      <c r="G97" s="4">
        <v>8</v>
      </c>
      <c r="H97" s="4">
        <v>36</v>
      </c>
      <c r="I97" s="4">
        <v>13</v>
      </c>
      <c r="J97" s="1">
        <v>34</v>
      </c>
      <c r="O97" s="4">
        <v>21459</v>
      </c>
      <c r="Q97" s="34">
        <f>O97*$Q$15</f>
        <v>1172.0130881320886</v>
      </c>
      <c r="S97" s="1">
        <f>H97*24+I97+J97/60+K97/3600</f>
        <v>877.56666666666672</v>
      </c>
      <c r="T97" s="15">
        <f>Q$15+(Q$16-Q$15)*(S97-S$15)/(S$16-S$15)</f>
        <v>6.1385914789690597E-2</v>
      </c>
      <c r="U97" s="33">
        <f>O97*T97</f>
        <v>1317.2803454719706</v>
      </c>
    </row>
    <row r="98" spans="3:21">
      <c r="C98">
        <v>80</v>
      </c>
      <c r="F98" s="4">
        <v>2013</v>
      </c>
      <c r="G98" s="4">
        <v>8</v>
      </c>
      <c r="H98" s="4">
        <v>36</v>
      </c>
      <c r="I98" s="4">
        <v>13</v>
      </c>
      <c r="J98" s="1">
        <v>35</v>
      </c>
      <c r="O98" s="4">
        <v>14784</v>
      </c>
      <c r="Q98" s="34">
        <f>O98*$Q$15</f>
        <v>807.44869262056943</v>
      </c>
      <c r="S98" s="1">
        <f>H98*24+I98+J98/60+K98/3600</f>
        <v>877.58333333333337</v>
      </c>
      <c r="T98" s="15">
        <f>Q$15+(Q$16-Q$15)*(S98-S$15)/(S$16-S$15)</f>
        <v>6.1452282691151452E-2</v>
      </c>
      <c r="U98" s="16">
        <f>O98*T98</f>
        <v>908.5105473059831</v>
      </c>
    </row>
    <row r="99" spans="3:21">
      <c r="C99" s="18">
        <v>81</v>
      </c>
      <c r="F99" s="4">
        <v>2013</v>
      </c>
      <c r="G99" s="4">
        <v>8</v>
      </c>
      <c r="H99" s="4">
        <v>36</v>
      </c>
      <c r="I99" s="4">
        <v>13</v>
      </c>
      <c r="J99" s="1">
        <v>37</v>
      </c>
      <c r="O99" s="4">
        <v>18339</v>
      </c>
      <c r="Q99" s="34">
        <f>O99*$Q$15</f>
        <v>1001.6099549491763</v>
      </c>
      <c r="S99" s="1">
        <f>H99*24+I99+J99/60+K99/3600</f>
        <v>877.61666666666667</v>
      </c>
      <c r="T99" s="15">
        <f>Q$15+(Q$16-Q$15)*(S99-S$15)/(S$16-S$15)</f>
        <v>6.1585018494073163E-2</v>
      </c>
      <c r="U99" s="16">
        <f>O99*T99</f>
        <v>1129.4076541628078</v>
      </c>
    </row>
    <row r="100" spans="3:21">
      <c r="C100" s="18">
        <v>82</v>
      </c>
      <c r="F100" s="4">
        <v>2013</v>
      </c>
      <c r="G100" s="4">
        <v>8</v>
      </c>
      <c r="H100" s="4">
        <v>36</v>
      </c>
      <c r="I100" s="4">
        <v>13</v>
      </c>
      <c r="J100" s="1">
        <v>40</v>
      </c>
      <c r="O100" s="4">
        <v>21370</v>
      </c>
      <c r="Q100" s="34">
        <f>O100*$Q$15</f>
        <v>1167.1522295252685</v>
      </c>
      <c r="S100" s="1">
        <f>H100*24+I100+J100/60+K100/3600</f>
        <v>877.66666666666663</v>
      </c>
      <c r="T100" s="15">
        <f>Q$15+(Q$16-Q$15)*(S100-S$15)/(S$16-S$15)</f>
        <v>6.1784122198455728E-2</v>
      </c>
      <c r="U100" s="16">
        <f>O100*T100</f>
        <v>1320.3266913809989</v>
      </c>
    </row>
    <row r="101" spans="3:21">
      <c r="C101">
        <v>83</v>
      </c>
      <c r="F101" s="4">
        <v>2013</v>
      </c>
      <c r="G101" s="4">
        <v>8</v>
      </c>
      <c r="H101" s="4">
        <v>36</v>
      </c>
      <c r="I101" s="4">
        <v>13</v>
      </c>
      <c r="J101" s="1">
        <v>41</v>
      </c>
      <c r="O101" s="4">
        <v>25018</v>
      </c>
      <c r="Q101" s="34">
        <f>O101*$Q$15</f>
        <v>1366.3928160160583</v>
      </c>
      <c r="S101" s="1">
        <f>H101*24+I101+J101/60+K101/3600</f>
        <v>877.68333333333328</v>
      </c>
      <c r="T101" s="15">
        <f>Q$15+(Q$16-Q$15)*(S101-S$15)/(S$16-S$15)</f>
        <v>6.1850490099916583E-2</v>
      </c>
      <c r="U101" s="16">
        <f>O101*T101</f>
        <v>1547.3755613197131</v>
      </c>
    </row>
    <row r="102" spans="3:21">
      <c r="C102" s="18">
        <v>84</v>
      </c>
      <c r="F102" s="4">
        <v>2013</v>
      </c>
      <c r="G102" s="4">
        <v>8</v>
      </c>
      <c r="H102" s="4">
        <v>36</v>
      </c>
      <c r="I102" s="4">
        <v>13</v>
      </c>
      <c r="J102" s="1">
        <v>42</v>
      </c>
      <c r="O102" s="4">
        <v>580295</v>
      </c>
      <c r="Q102" s="34">
        <f>O102*$Q$15</f>
        <v>31693.617362300683</v>
      </c>
      <c r="S102" s="1">
        <f>H102*24+I102+J102/60+K102/3600</f>
        <v>877.7</v>
      </c>
      <c r="T102" s="15">
        <f>Q$15+(Q$16-Q$15)*(S102-S$15)/(S$16-S$15)</f>
        <v>6.1916858001377889E-2</v>
      </c>
      <c r="U102" s="16">
        <f>O102*T102</f>
        <v>35930.043113909582</v>
      </c>
    </row>
  </sheetData>
  <conditionalFormatting sqref="N88:N65536">
    <cfRule type="cellIs" dxfId="3" priority="2" operator="greaterThan">
      <formula>300000</formula>
    </cfRule>
  </conditionalFormatting>
  <conditionalFormatting sqref="Q19:Q87">
    <cfRule type="cellIs" dxfId="2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2"/>
  <sheetViews>
    <sheetView zoomScale="59" zoomScaleNormal="59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1.28515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3" width="8.5703125"/>
    <col min="24" max="24" width="12.140625"/>
    <col min="25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41491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39</v>
      </c>
      <c r="I2" s="4">
        <v>11</v>
      </c>
      <c r="J2" s="4">
        <v>35</v>
      </c>
      <c r="K2" s="4"/>
      <c r="L2" s="4"/>
      <c r="M2" s="4"/>
      <c r="N2" s="4"/>
      <c r="O2" s="4">
        <v>177200</v>
      </c>
      <c r="P2"/>
      <c r="Q2"/>
      <c r="R2"/>
      <c r="S2" s="1">
        <f>H2*24+I2+J2/60+K2/3600</f>
        <v>947.58333333333337</v>
      </c>
      <c r="T2"/>
      <c r="U2"/>
      <c r="X2" t="s">
        <v>96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39</v>
      </c>
      <c r="I3" s="4">
        <v>11</v>
      </c>
      <c r="J3" s="4">
        <v>36</v>
      </c>
      <c r="K3" s="4"/>
      <c r="L3" s="4"/>
      <c r="M3" s="4"/>
      <c r="N3" s="4"/>
      <c r="O3" s="4">
        <v>174677</v>
      </c>
      <c r="P3"/>
      <c r="Q3"/>
      <c r="R3"/>
      <c r="S3" s="1">
        <f>H3*24+I3+J3/60+K3/3600</f>
        <v>947.6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39</v>
      </c>
      <c r="I4" s="4">
        <v>11</v>
      </c>
      <c r="J4" s="4">
        <v>36</v>
      </c>
      <c r="K4" s="4"/>
      <c r="L4" s="4"/>
      <c r="M4" s="4"/>
      <c r="N4" s="4"/>
      <c r="O4" s="4">
        <v>168283</v>
      </c>
      <c r="P4"/>
      <c r="Q4"/>
      <c r="R4"/>
      <c r="S4" s="1">
        <f>H4*24+I4+J4/60+K4/3600</f>
        <v>947.6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39</v>
      </c>
      <c r="I5" s="4">
        <v>11</v>
      </c>
      <c r="J5" s="4">
        <v>37</v>
      </c>
      <c r="K5" s="4"/>
      <c r="L5" s="4"/>
      <c r="M5" s="4"/>
      <c r="N5" s="4"/>
      <c r="O5" s="4">
        <v>169267</v>
      </c>
      <c r="P5"/>
      <c r="Q5"/>
      <c r="R5"/>
      <c r="S5" s="1">
        <f>H5*24+I5+J5/60+K5/3600</f>
        <v>947.61666666666667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39</v>
      </c>
      <c r="I7" s="4">
        <v>15</v>
      </c>
      <c r="J7" s="4">
        <v>6</v>
      </c>
      <c r="K7" s="4"/>
      <c r="L7" s="4"/>
      <c r="M7" s="4"/>
      <c r="N7" s="4"/>
      <c r="O7" s="4">
        <v>162667</v>
      </c>
      <c r="P7"/>
      <c r="Q7"/>
      <c r="R7"/>
      <c r="S7" s="1">
        <f>H7*24+I7+J7/60+K7/3600</f>
        <v>951.1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39</v>
      </c>
      <c r="I8" s="4">
        <v>15</v>
      </c>
      <c r="J8" s="4">
        <v>7</v>
      </c>
      <c r="K8" s="4"/>
      <c r="L8" s="4"/>
      <c r="M8" s="4"/>
      <c r="N8" s="4"/>
      <c r="O8" s="4">
        <v>153027</v>
      </c>
      <c r="P8"/>
      <c r="Q8"/>
      <c r="R8"/>
      <c r="S8" s="1">
        <f>H8*24+I8+J8/60+K8/3600</f>
        <v>951.11666666666667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39</v>
      </c>
      <c r="I9" s="4">
        <v>15</v>
      </c>
      <c r="J9" s="4">
        <v>8</v>
      </c>
      <c r="K9" s="4"/>
      <c r="L9" s="4"/>
      <c r="M9" s="4"/>
      <c r="N9" s="4"/>
      <c r="O9" s="4">
        <v>165120</v>
      </c>
      <c r="P9"/>
      <c r="Q9"/>
      <c r="R9"/>
      <c r="S9" s="1">
        <f>H9*24+I9+J9/60+K9/3600</f>
        <v>951.13333333333333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39</v>
      </c>
      <c r="I10" s="4">
        <v>15</v>
      </c>
      <c r="J10" s="4">
        <v>9</v>
      </c>
      <c r="K10" s="4"/>
      <c r="L10" s="4"/>
      <c r="M10" s="4"/>
      <c r="N10" s="4"/>
      <c r="O10" s="4">
        <v>171690</v>
      </c>
      <c r="P10"/>
      <c r="Q10"/>
      <c r="R10"/>
      <c r="S10" s="1">
        <f>H10*24+I10+J10/60+K10/3600</f>
        <v>951.15</v>
      </c>
      <c r="T10"/>
      <c r="U10"/>
    </row>
    <row r="11" spans="1: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 s="1">
        <f>H11*24+I11+J11/60+K11/3600</f>
        <v>0</v>
      </c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AVERAGE(O2:O10)</f>
        <v>167741.375</v>
      </c>
      <c r="Q15" s="8">
        <f>F15/O15</f>
        <v>5.3934218674432592E-2</v>
      </c>
      <c r="S15" s="1">
        <f>AVERAGE(S2:S6)</f>
        <v>947.6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163126</v>
      </c>
      <c r="Q16" s="1">
        <f>F15/O16</f>
        <v>5.5460196412589043E-2</v>
      </c>
      <c r="S16" s="1">
        <f>AVERAGE(S7:S11)</f>
        <v>760.9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39</v>
      </c>
      <c r="I19" s="4">
        <v>11</v>
      </c>
      <c r="J19" s="4">
        <v>42</v>
      </c>
      <c r="K19" s="4"/>
      <c r="L19" s="4"/>
      <c r="M19" s="4"/>
      <c r="N19" s="4"/>
      <c r="O19" s="4">
        <v>78112</v>
      </c>
      <c r="Q19" s="13">
        <f>O19*$Q$15</f>
        <v>4212.9096890972787</v>
      </c>
      <c r="R19" s="14"/>
      <c r="S19" s="1">
        <f>H19*24+I19+J19/60+K19/3600</f>
        <v>947.7</v>
      </c>
      <c r="T19" s="15">
        <f>Q15+(Q16-Q15)*(S19-S15)/(S16-S15)</f>
        <v>5.3933401332312531E-2</v>
      </c>
      <c r="U19" s="16">
        <f>O19*T19</f>
        <v>4212.8458448695965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39</v>
      </c>
      <c r="I20" s="4">
        <v>11</v>
      </c>
      <c r="J20" s="4">
        <v>43</v>
      </c>
      <c r="K20" s="4"/>
      <c r="L20" s="4"/>
      <c r="M20" s="4"/>
      <c r="N20" s="4"/>
      <c r="O20" s="4">
        <v>61526</v>
      </c>
      <c r="Q20" s="13">
        <f>O20*$Q$15</f>
        <v>3318.3567381631397</v>
      </c>
      <c r="R20" s="14"/>
      <c r="S20" s="1">
        <f>H20*24+I20+J20/60+K20/3600</f>
        <v>947.7166666666667</v>
      </c>
      <c r="T20" s="15">
        <f>Q15+(Q16-Q15)*(S20-S15)/(S16-S15)</f>
        <v>5.3933265108625852E-2</v>
      </c>
      <c r="U20" s="16">
        <f>O20*T20</f>
        <v>3318.2980690733143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39</v>
      </c>
      <c r="I21" s="4">
        <v>11</v>
      </c>
      <c r="J21" s="4">
        <v>44</v>
      </c>
      <c r="K21" s="4"/>
      <c r="L21" s="4"/>
      <c r="M21" s="4"/>
      <c r="N21" s="4"/>
      <c r="O21" s="4">
        <v>66384</v>
      </c>
      <c r="Q21" s="13">
        <f>O21*$Q$15</f>
        <v>3580.369172483533</v>
      </c>
      <c r="R21" s="14"/>
      <c r="S21" s="1">
        <f>H21*24+I21+J21/60+K21/3600</f>
        <v>947.73333333333335</v>
      </c>
      <c r="T21" s="15">
        <f>Q15+(Q16-Q15)*(S21-S15)/(S16-S15)</f>
        <v>5.3933128884939174E-2</v>
      </c>
      <c r="U21" s="16">
        <f>O21*T21</f>
        <v>3580.2968278978024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39</v>
      </c>
      <c r="I22" s="4">
        <v>11</v>
      </c>
      <c r="J22" s="4">
        <v>47</v>
      </c>
      <c r="K22" s="4"/>
      <c r="L22" s="4"/>
      <c r="M22" s="4"/>
      <c r="N22" s="4"/>
      <c r="O22" s="4">
        <v>65499</v>
      </c>
      <c r="Q22" s="13">
        <f>O22*$Q$15</f>
        <v>3532.6373889566603</v>
      </c>
      <c r="R22" s="14"/>
      <c r="S22" s="1">
        <f>H22*24+I22+J22/60+K22/3600</f>
        <v>947.7833333333333</v>
      </c>
      <c r="T22" s="15">
        <f>Q15+(Q16-Q15)*(S22-S15)/(S16-S15)</f>
        <v>5.3932720213879147E-2</v>
      </c>
      <c r="U22" s="16">
        <f>O22*T22</f>
        <v>3532.5392412888705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39</v>
      </c>
      <c r="I23" s="4">
        <v>11</v>
      </c>
      <c r="J23" s="4">
        <v>46</v>
      </c>
      <c r="K23" s="4"/>
      <c r="L23" s="4"/>
      <c r="M23" s="4"/>
      <c r="N23" s="4"/>
      <c r="O23" s="4">
        <v>81485</v>
      </c>
      <c r="Q23" s="13">
        <f>O23*$Q$15</f>
        <v>4394.8298086861396</v>
      </c>
      <c r="R23" s="14"/>
      <c r="S23" s="1">
        <f>H23*24+I23+J23/60+K23/3600</f>
        <v>947.76666666666665</v>
      </c>
      <c r="T23" s="15">
        <f>Q15+(Q16-Q15)*(S23-S15)/(S16-S15)</f>
        <v>5.3932856437565825E-2</v>
      </c>
      <c r="U23" s="16">
        <f>O23*T23</f>
        <v>4394.7188068150508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39</v>
      </c>
      <c r="I24" s="4">
        <v>11</v>
      </c>
      <c r="J24" s="4">
        <v>48</v>
      </c>
      <c r="K24" s="4"/>
      <c r="L24" s="4"/>
      <c r="M24" s="4"/>
      <c r="N24" s="4"/>
      <c r="O24" s="4">
        <v>36144</v>
      </c>
      <c r="Q24" s="13">
        <f>O24*$Q$15</f>
        <v>1949.3983997686917</v>
      </c>
      <c r="R24" s="14"/>
      <c r="S24" s="1">
        <f>H24*24+I24+J24/60+K24/3600</f>
        <v>947.8</v>
      </c>
      <c r="T24" s="15">
        <f>Q15+(Q16-Q15)*(S24-S15)/(S16-S15)</f>
        <v>5.3932583990192469E-2</v>
      </c>
      <c r="U24" s="16">
        <f>O24*T24</f>
        <v>1949.3393157415167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39</v>
      </c>
      <c r="I25" s="4">
        <v>11</v>
      </c>
      <c r="J25" s="4">
        <v>49</v>
      </c>
      <c r="K25" s="4"/>
      <c r="L25" s="4"/>
      <c r="M25" s="4"/>
      <c r="N25" s="4"/>
      <c r="O25" s="4">
        <v>35190</v>
      </c>
      <c r="Q25" s="13">
        <f>O25*$Q$15</f>
        <v>1897.9451551532829</v>
      </c>
      <c r="R25" s="14"/>
      <c r="S25" s="1">
        <f>H25*24+I25+J25/60+K25/3600</f>
        <v>947.81666666666672</v>
      </c>
      <c r="T25" s="15">
        <f>Q15+(Q16-Q15)*(S25-S15)/(S16-S15)</f>
        <v>5.3932447766505791E-2</v>
      </c>
      <c r="U25" s="16">
        <f>O25*T25</f>
        <v>1897.8828369033388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39</v>
      </c>
      <c r="I26" s="4">
        <v>11</v>
      </c>
      <c r="J26" s="4">
        <v>50</v>
      </c>
      <c r="K26" s="4"/>
      <c r="L26" s="4"/>
      <c r="M26" s="4"/>
      <c r="N26" s="4"/>
      <c r="O26" s="4">
        <v>45696</v>
      </c>
      <c r="Q26" s="13">
        <f>O26*$Q$15</f>
        <v>2464.5780565468717</v>
      </c>
      <c r="R26" s="14"/>
      <c r="S26" s="1">
        <f>H26*24+I26+J26/60+K26/3600</f>
        <v>947.83333333333337</v>
      </c>
      <c r="T26" s="15">
        <f>Q15+(Q16-Q15)*(S26-S15)/(S16-S15)</f>
        <v>5.3932311542819113E-2</v>
      </c>
      <c r="U26" s="16">
        <f>O26*T26</f>
        <v>2464.4909082606623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39</v>
      </c>
      <c r="I27" s="4">
        <v>11</v>
      </c>
      <c r="J27" s="4">
        <v>52</v>
      </c>
      <c r="K27" s="4"/>
      <c r="L27" s="4"/>
      <c r="M27" s="4"/>
      <c r="N27" s="4"/>
      <c r="O27" s="4">
        <v>56670</v>
      </c>
      <c r="Q27" s="13">
        <f>O27*$Q$15</f>
        <v>3056.4521722800951</v>
      </c>
      <c r="R27" s="14"/>
      <c r="S27" s="1">
        <f>H27*24+I27+J27/60+K27/3600</f>
        <v>947.86666666666667</v>
      </c>
      <c r="T27" s="15">
        <f>Q15+(Q16-Q15)*(S27-S15)/(S16-S15)</f>
        <v>5.3932039095445757E-2</v>
      </c>
      <c r="U27" s="16">
        <f>O27*T27</f>
        <v>3056.3286555389109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39</v>
      </c>
      <c r="I28" s="4">
        <v>11</v>
      </c>
      <c r="J28" s="4">
        <v>53</v>
      </c>
      <c r="K28" s="4"/>
      <c r="L28" s="4"/>
      <c r="M28" s="4"/>
      <c r="N28" s="4"/>
      <c r="O28" s="4">
        <v>50648</v>
      </c>
      <c r="Q28" s="13">
        <f>O28*$Q$15</f>
        <v>2731.6603074226618</v>
      </c>
      <c r="R28" s="14"/>
      <c r="S28" s="1">
        <f>H28*24+I28+J27/60+K28/3600</f>
        <v>947.86666666666667</v>
      </c>
      <c r="T28" s="15">
        <f>Q15+(Q16-Q15)*(S28-S15)/(S16-S15)</f>
        <v>5.3932039095445757E-2</v>
      </c>
      <c r="U28" s="16">
        <f>O28*T28</f>
        <v>2731.5499161061366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39</v>
      </c>
      <c r="I29" s="4">
        <v>11</v>
      </c>
      <c r="J29" s="4">
        <v>54</v>
      </c>
      <c r="K29" s="4"/>
      <c r="L29" s="4"/>
      <c r="M29" s="4"/>
      <c r="N29" s="4"/>
      <c r="O29" s="4">
        <v>44349</v>
      </c>
      <c r="Q29" s="13">
        <f>O29*$Q$15</f>
        <v>2391.9286639924112</v>
      </c>
      <c r="R29" s="14"/>
      <c r="S29" s="1">
        <f>H29*24+I29+J28/60+K29/3600</f>
        <v>947.88333333333333</v>
      </c>
      <c r="T29" s="15">
        <f>Q15+(Q16-Q15)*(S29-S15)/(S16-S15)</f>
        <v>5.3931902871759085E-2</v>
      </c>
      <c r="U29" s="16">
        <f>O29*T29</f>
        <v>2391.8259604596437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39</v>
      </c>
      <c r="I30" s="4">
        <v>11</v>
      </c>
      <c r="J30" s="4">
        <v>55</v>
      </c>
      <c r="K30" s="4"/>
      <c r="L30" s="4"/>
      <c r="M30" s="4"/>
      <c r="N30" s="4"/>
      <c r="O30" s="4">
        <v>44352</v>
      </c>
      <c r="Q30" s="13">
        <f>O30*$Q$15</f>
        <v>2392.0904666484344</v>
      </c>
      <c r="R30" s="14"/>
      <c r="S30" s="1">
        <f>H30*24+I30+J29/60+K30/3600</f>
        <v>947.9</v>
      </c>
      <c r="T30" s="15">
        <f>Q15+(Q16-Q15)*(S30-S15)/(S16-S15)</f>
        <v>5.3931766648072407E-2</v>
      </c>
      <c r="U30" s="16">
        <f>O30*T30</f>
        <v>2391.9817143753075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39</v>
      </c>
      <c r="I31" s="4">
        <v>11</v>
      </c>
      <c r="J31" s="4">
        <v>56</v>
      </c>
      <c r="K31" s="4"/>
      <c r="L31" s="4"/>
      <c r="M31" s="4"/>
      <c r="N31" s="4"/>
      <c r="O31" s="4">
        <v>50998</v>
      </c>
      <c r="Q31" s="13">
        <f>O31*$Q$15</f>
        <v>2750.5372839587135</v>
      </c>
      <c r="R31" s="14"/>
      <c r="S31" s="1">
        <f>H31*24+I31+J30/60+K31/3600</f>
        <v>947.91666666666663</v>
      </c>
      <c r="T31" s="15">
        <f>Q15+(Q16-Q15)*(S31-S15)/(S16-S15)</f>
        <v>5.3931630424385729E-2</v>
      </c>
      <c r="U31" s="16">
        <f>O31*T31</f>
        <v>2750.4052883828235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39</v>
      </c>
      <c r="I32" s="4">
        <v>11</v>
      </c>
      <c r="J32" s="4">
        <v>58</v>
      </c>
      <c r="K32" s="4"/>
      <c r="L32" s="4"/>
      <c r="M32" s="4"/>
      <c r="N32" s="4"/>
      <c r="O32" s="4">
        <v>24278</v>
      </c>
      <c r="Q32" s="13">
        <f>O32*$Q$15</f>
        <v>1309.4149609778744</v>
      </c>
      <c r="R32" s="14"/>
      <c r="S32" s="1">
        <f>H32*24+I32+J31/60+K32/3600</f>
        <v>947.93333333333328</v>
      </c>
      <c r="T32" s="15">
        <f>Q15+(Q16-Q15)*(S32-S15)/(S16-S15)</f>
        <v>5.3931494200699051E-2</v>
      </c>
      <c r="U32" s="16">
        <f>O32*T32</f>
        <v>1309.3488162045714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39</v>
      </c>
      <c r="I33" s="4">
        <v>11</v>
      </c>
      <c r="J33" s="4">
        <v>59</v>
      </c>
      <c r="K33" s="4"/>
      <c r="L33" s="4"/>
      <c r="M33" s="4"/>
      <c r="N33" s="4"/>
      <c r="O33" s="4">
        <v>217872</v>
      </c>
      <c r="Q33" s="13">
        <f>O33*$Q$15</f>
        <v>11750.756091035977</v>
      </c>
      <c r="R33" s="14"/>
      <c r="S33" s="1">
        <f>H33*24+I33+J32/60+K33/3600</f>
        <v>947.9666666666667</v>
      </c>
      <c r="T33" s="15">
        <f>Q15+(Q16-Q15)*(S33-S15)/(S16-S15)</f>
        <v>5.3931221753325695E-2</v>
      </c>
      <c r="U33" s="16">
        <f>O33*T33</f>
        <v>11750.103145840576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39</v>
      </c>
      <c r="I34" s="4">
        <v>12</v>
      </c>
      <c r="J34" s="4">
        <v>0</v>
      </c>
      <c r="K34" s="4"/>
      <c r="L34" s="4"/>
      <c r="M34" s="4"/>
      <c r="N34" s="4"/>
      <c r="O34" s="4">
        <v>252979</v>
      </c>
      <c r="Q34" s="13">
        <f>O34*$Q$15</f>
        <v>13644.224706039282</v>
      </c>
      <c r="R34" s="14"/>
      <c r="S34" s="1">
        <f>H34*24+I34+J33/60+K34/3600</f>
        <v>948.98333333333335</v>
      </c>
      <c r="T34" s="15">
        <f>Q15+(Q16-Q15)*(S34-S15)/(S16-S15)</f>
        <v>5.3922912108438394E-2</v>
      </c>
      <c r="U34" s="16">
        <f>O34*T34</f>
        <v>13641.364382280637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39</v>
      </c>
      <c r="I35" s="4">
        <v>12</v>
      </c>
      <c r="J35" s="6">
        <v>1</v>
      </c>
      <c r="K35" s="4"/>
      <c r="L35" s="4"/>
      <c r="M35" s="4"/>
      <c r="N35" s="4"/>
      <c r="O35" s="4">
        <v>200756</v>
      </c>
      <c r="Q35" s="13">
        <f>O35*$Q$15</f>
        <v>10827.618004204389</v>
      </c>
      <c r="R35" s="14"/>
      <c r="S35" s="1">
        <f>H35*24+I35+J34/60+K35/3600</f>
        <v>948</v>
      </c>
      <c r="T35" s="15">
        <f>Q15+(Q16-Q15)*(S35-S15)/(S16-S15)</f>
        <v>5.3930949305952346E-2</v>
      </c>
      <c r="U35" s="16">
        <f>O35*T35</f>
        <v>10826.96165886577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39</v>
      </c>
      <c r="I36" s="4">
        <v>12</v>
      </c>
      <c r="J36" s="4">
        <v>2</v>
      </c>
      <c r="K36" s="6"/>
      <c r="L36" s="6"/>
      <c r="M36" s="6"/>
      <c r="N36" s="6"/>
      <c r="O36" s="6">
        <v>293879</v>
      </c>
      <c r="P36" s="5"/>
      <c r="Q36" s="21">
        <f>O36*$Q$15</f>
        <v>15850.134249823575</v>
      </c>
      <c r="R36" s="22"/>
      <c r="S36" s="5">
        <f>H36*24+I36+J35/60+K36/3600</f>
        <v>948.01666666666665</v>
      </c>
      <c r="T36" s="23">
        <f>Q15+(Q16-Q15)*(S36-S15)/(S16-S15)</f>
        <v>5.3930813082265668E-2</v>
      </c>
      <c r="U36" s="24">
        <f>O36*T36</f>
        <v>15849.133417803152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39</v>
      </c>
      <c r="I37" s="4">
        <v>12</v>
      </c>
      <c r="J37" s="4">
        <v>3</v>
      </c>
      <c r="K37" s="4"/>
      <c r="L37" s="4"/>
      <c r="M37" s="4"/>
      <c r="N37" s="4"/>
      <c r="O37" s="4">
        <v>239259</v>
      </c>
      <c r="Q37" s="13">
        <f>O37*$Q$15</f>
        <v>12904.247225826068</v>
      </c>
      <c r="R37" s="14"/>
      <c r="S37" s="1">
        <f>H37*24+I37+J36/60+K37/3600</f>
        <v>948.0333333333333</v>
      </c>
      <c r="T37" s="15">
        <f>Q15+(Q16-Q15)*(S37-S15)/(S16-S15)</f>
        <v>5.3930676858578989E-2</v>
      </c>
      <c r="U37" s="16">
        <f>O37*T37</f>
        <v>12903.399814506751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39</v>
      </c>
      <c r="I38" s="4">
        <v>12</v>
      </c>
      <c r="J38" s="6">
        <v>4</v>
      </c>
      <c r="K38" s="4"/>
      <c r="L38" s="4"/>
      <c r="M38" s="4"/>
      <c r="N38" s="4"/>
      <c r="O38" s="4">
        <v>95510</v>
      </c>
      <c r="Q38" s="13">
        <f>O38*$Q$15</f>
        <v>5151.2572255950572</v>
      </c>
      <c r="R38" s="14"/>
      <c r="S38" s="1">
        <f>H38*24+I38+J37/60+K38/3600</f>
        <v>948.05</v>
      </c>
      <c r="T38" s="15">
        <f>Q15+(Q16-Q15)*(S38-S15)/(S16-S15)</f>
        <v>5.3930540634892311E-2</v>
      </c>
      <c r="U38" s="16">
        <f>O38*T38</f>
        <v>5150.9059360385645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39</v>
      </c>
      <c r="I39" s="4">
        <v>12</v>
      </c>
      <c r="J39" s="4">
        <v>5</v>
      </c>
      <c r="K39" s="6"/>
      <c r="L39" s="6"/>
      <c r="M39" s="6"/>
      <c r="N39" s="6"/>
      <c r="O39" s="6">
        <v>105480</v>
      </c>
      <c r="P39" s="5"/>
      <c r="Q39" s="21">
        <f>O39*$Q$15</f>
        <v>5688.9813857791496</v>
      </c>
      <c r="R39" s="22"/>
      <c r="S39" s="5">
        <f>H39*24+I39+J38/60+K39/3600</f>
        <v>948.06666666666672</v>
      </c>
      <c r="T39" s="23">
        <f>Q15+(Q16-Q15)*(S39-S15)/(S16-S15)</f>
        <v>5.3930404411205633E-2</v>
      </c>
      <c r="U39" s="24">
        <f>O39*T39</f>
        <v>5688.5790572939704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39</v>
      </c>
      <c r="I40" s="4">
        <v>12</v>
      </c>
      <c r="J40" s="4">
        <v>6</v>
      </c>
      <c r="K40" s="4"/>
      <c r="L40" s="4"/>
      <c r="M40" s="4"/>
      <c r="N40" s="4"/>
      <c r="O40" s="4">
        <v>91426</v>
      </c>
      <c r="Q40" s="13">
        <f>O40*$Q$15</f>
        <v>4930.9898765286744</v>
      </c>
      <c r="R40" s="14"/>
      <c r="S40" s="1">
        <f>H40*24+I40+J39/60+K40/3600</f>
        <v>948.08333333333337</v>
      </c>
      <c r="T40" s="15">
        <f>Q15+(Q16-Q15)*(S40-S15)/(S16-S15)</f>
        <v>5.3930268187518955E-2</v>
      </c>
      <c r="U40" s="16">
        <f>O40*T40</f>
        <v>4930.6286993121084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39</v>
      </c>
      <c r="I41" s="4">
        <v>12</v>
      </c>
      <c r="J41" s="4">
        <v>7</v>
      </c>
      <c r="K41" s="4"/>
      <c r="L41" s="4"/>
      <c r="M41" s="4"/>
      <c r="N41" s="4"/>
      <c r="O41" s="4">
        <v>89138</v>
      </c>
      <c r="Q41" s="13">
        <f>O41*$Q$15</f>
        <v>4807.5883842015728</v>
      </c>
      <c r="R41" s="14"/>
      <c r="S41" s="1">
        <f>H41*24+I41+J40/60+K41/3600</f>
        <v>948.1</v>
      </c>
      <c r="T41" s="15">
        <f>Q15+(Q16-Q15)*(S41-S15)/(S16-S15)</f>
        <v>5.3930131963832277E-2</v>
      </c>
      <c r="U41" s="16">
        <f>O41*T41</f>
        <v>4807.2241029920815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39</v>
      </c>
      <c r="I42" s="4">
        <v>12</v>
      </c>
      <c r="J42" s="4">
        <v>8</v>
      </c>
      <c r="K42" s="4"/>
      <c r="L42" s="4"/>
      <c r="M42" s="4"/>
      <c r="N42" s="4"/>
      <c r="O42" s="4">
        <v>95402</v>
      </c>
      <c r="Q42" s="13">
        <f>O42*$Q$15</f>
        <v>5145.4323299782181</v>
      </c>
      <c r="R42" s="14"/>
      <c r="S42" s="1">
        <f>H42*24+I42+J41/60+K42/3600</f>
        <v>948.11666666666667</v>
      </c>
      <c r="T42" s="15">
        <f>Q15+(Q16-Q15)*(S42-S15)/(S16-S15)</f>
        <v>5.3929995740145606E-2</v>
      </c>
      <c r="U42" s="16">
        <f>O42*T42</f>
        <v>5145.0294536013707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39</v>
      </c>
      <c r="I43" s="4">
        <v>12</v>
      </c>
      <c r="J43" s="4">
        <v>9</v>
      </c>
      <c r="K43" s="4"/>
      <c r="L43" s="4"/>
      <c r="M43" s="4"/>
      <c r="N43" s="4"/>
      <c r="O43" s="4">
        <v>148134</v>
      </c>
      <c r="Q43" s="13">
        <f>O43*$Q$15</f>
        <v>7989.4915491183974</v>
      </c>
      <c r="R43" s="14"/>
      <c r="S43" s="1">
        <f>H43*24+I43+J42/60+K43/3600</f>
        <v>948.13333333333333</v>
      </c>
      <c r="T43" s="15">
        <f>Q15+(Q16-Q15)*(S43-S15)/(S16-S15)</f>
        <v>5.3929859516458928E-2</v>
      </c>
      <c r="U43" s="16">
        <f>O43*T43</f>
        <v>7988.8458096111272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39</v>
      </c>
      <c r="I44" s="4">
        <v>12</v>
      </c>
      <c r="J44" s="4">
        <v>9</v>
      </c>
      <c r="K44" s="4"/>
      <c r="L44" s="4"/>
      <c r="M44" s="4"/>
      <c r="N44" s="4"/>
      <c r="O44" s="4">
        <v>120906</v>
      </c>
      <c r="Q44" s="13">
        <f>O44*$Q$15</f>
        <v>6520.9706430509468</v>
      </c>
      <c r="R44" s="14"/>
      <c r="S44" s="1">
        <f>H44*24+I44+J43/60+K44/3600</f>
        <v>948.15</v>
      </c>
      <c r="T44" s="15">
        <f>Q15+(Q16-Q15)*(S44-S15)/(S16-S15)</f>
        <v>5.392972329277225E-2</v>
      </c>
      <c r="U44" s="16">
        <f>O44*T44</f>
        <v>6520.4271244359215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39</v>
      </c>
      <c r="I45" s="4">
        <v>12</v>
      </c>
      <c r="J45" s="4">
        <v>10</v>
      </c>
      <c r="K45" s="4"/>
      <c r="L45" s="4"/>
      <c r="M45" s="4"/>
      <c r="N45" s="4"/>
      <c r="O45" s="4">
        <v>134128</v>
      </c>
      <c r="Q45" s="13">
        <f>O45*$Q$15</f>
        <v>7234.0888823642945</v>
      </c>
      <c r="R45" s="14"/>
      <c r="S45" s="1">
        <f>H45*24+I45+J44/60+K45/3600</f>
        <v>948.15</v>
      </c>
      <c r="T45" s="15">
        <f>Q15+(Q16-Q15)*(S45-S15)/(S16-S15)</f>
        <v>5.392972329277225E-2</v>
      </c>
      <c r="U45" s="16">
        <f>O45*T45</f>
        <v>7233.4859258129563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39</v>
      </c>
      <c r="I46" s="4">
        <v>12</v>
      </c>
      <c r="J46" s="4">
        <v>11</v>
      </c>
      <c r="K46" s="4"/>
      <c r="L46" s="4"/>
      <c r="M46" s="4"/>
      <c r="N46" s="4"/>
      <c r="O46" s="4">
        <v>581677</v>
      </c>
      <c r="Q46" s="13">
        <f>O46*$Q$15</f>
        <v>31372.294515887927</v>
      </c>
      <c r="R46" s="14"/>
      <c r="S46" s="1">
        <f>H46*24+I46+J45/60+K46/3600</f>
        <v>948.16666666666663</v>
      </c>
      <c r="T46" s="15">
        <f>Q15+(Q16-Q15)*(S46-S15)/(S16-S15)</f>
        <v>5.3929587069085572E-2</v>
      </c>
      <c r="U46" s="16">
        <f>O46*T46</f>
        <v>31369.600417584486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39</v>
      </c>
      <c r="I47" s="4">
        <v>12</v>
      </c>
      <c r="J47" s="4">
        <v>14</v>
      </c>
      <c r="K47" s="4"/>
      <c r="L47" s="4"/>
      <c r="M47" s="4"/>
      <c r="N47" s="4"/>
      <c r="O47" s="4">
        <v>236694</v>
      </c>
      <c r="Q47" s="13">
        <f>O47*$Q$15</f>
        <v>12765.905954926147</v>
      </c>
      <c r="R47" s="14"/>
      <c r="S47" s="1">
        <f>H47*24+I47+J46/60+K47/3600</f>
        <v>948.18333333333328</v>
      </c>
      <c r="T47" s="15">
        <f>Q15+(Q16-Q15)*(S47-S15)/(S16-S15)</f>
        <v>5.3929450845398894E-2</v>
      </c>
      <c r="U47" s="16">
        <f>O47*T47</f>
        <v>12764.777438400846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39</v>
      </c>
      <c r="I48" s="4">
        <v>12</v>
      </c>
      <c r="J48" s="4">
        <v>15</v>
      </c>
      <c r="K48" s="4"/>
      <c r="L48" s="4"/>
      <c r="M48" s="4"/>
      <c r="N48" s="4"/>
      <c r="O48" s="4">
        <v>255363</v>
      </c>
      <c r="Q48" s="13">
        <f>O48*$Q$15</f>
        <v>13772.803883359131</v>
      </c>
      <c r="R48" s="14"/>
      <c r="S48" s="1">
        <f>H48*24+I48+J47/60+K48/3600</f>
        <v>948.23333333333335</v>
      </c>
      <c r="T48" s="15">
        <f>Q15+(Q16-Q15)*(S48-S15)/(S16-S15)</f>
        <v>5.3929042174338866E-2</v>
      </c>
      <c r="U48" s="16">
        <f>O48*T48</f>
        <v>13771.481996765697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39</v>
      </c>
      <c r="I49" s="4">
        <v>12</v>
      </c>
      <c r="J49" s="4">
        <v>16</v>
      </c>
      <c r="K49" s="4"/>
      <c r="L49" s="4"/>
      <c r="M49" s="4"/>
      <c r="N49" s="4"/>
      <c r="O49" s="4">
        <v>205416</v>
      </c>
      <c r="Q49" s="13">
        <f>O49*$Q$15</f>
        <v>11078.951463227246</v>
      </c>
      <c r="R49" s="14"/>
      <c r="S49" s="1">
        <f>H49*24+I49+J48/60+K49/3600</f>
        <v>948.25</v>
      </c>
      <c r="T49" s="15">
        <f>Q15+(Q16-Q15)*(S49-S15)/(S16-S15)</f>
        <v>5.3928905950652188E-2</v>
      </c>
      <c r="U49" s="16">
        <f>O49*T49</f>
        <v>11077.86014475917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39</v>
      </c>
      <c r="I50" s="4">
        <v>12</v>
      </c>
      <c r="J50" s="4">
        <v>16</v>
      </c>
      <c r="K50" s="4"/>
      <c r="L50" s="4"/>
      <c r="M50" s="4"/>
      <c r="N50" s="4"/>
      <c r="O50" s="4">
        <v>212824</v>
      </c>
      <c r="Q50" s="13">
        <f>O50*$Q$15</f>
        <v>11478.496155167442</v>
      </c>
      <c r="R50" s="14"/>
      <c r="S50" s="1">
        <f>H50*24+I50+J49/60+K50/3600</f>
        <v>948.26666666666665</v>
      </c>
      <c r="T50" s="15">
        <f>Q15+(Q16-Q15)*(S50-S15)/(S16-S15)</f>
        <v>5.392876972696551E-2</v>
      </c>
      <c r="U50" s="16">
        <f>O50*T50</f>
        <v>11477.336488371708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39</v>
      </c>
      <c r="I51" s="4">
        <v>12</v>
      </c>
      <c r="J51" s="4">
        <v>17</v>
      </c>
      <c r="K51" s="4"/>
      <c r="L51" s="4"/>
      <c r="M51" s="4"/>
      <c r="N51" s="4"/>
      <c r="O51" s="4">
        <v>213504</v>
      </c>
      <c r="Q51" s="13">
        <f>O51*$Q$15</f>
        <v>11515.171423866057</v>
      </c>
      <c r="R51" s="14"/>
      <c r="S51" s="1">
        <f>H51*24+I51+J50/60+K51/3600</f>
        <v>948.26666666666665</v>
      </c>
      <c r="T51" s="15">
        <f>Q15+(Q16-Q15)*(S51-S15)/(S16-S15)</f>
        <v>5.392876972696551E-2</v>
      </c>
      <c r="U51" s="16">
        <f>O51*T51</f>
        <v>11514.008051786044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39</v>
      </c>
      <c r="I52" s="4">
        <v>12</v>
      </c>
      <c r="J52" s="4">
        <v>18</v>
      </c>
      <c r="K52" s="4"/>
      <c r="L52" s="4"/>
      <c r="M52" s="4"/>
      <c r="N52" s="4"/>
      <c r="O52" s="4">
        <v>89646</v>
      </c>
      <c r="Q52" s="13">
        <f>O52*$Q$15</f>
        <v>4834.9869672881841</v>
      </c>
      <c r="R52" s="14"/>
      <c r="S52" s="1">
        <f>H52*24+I52+J51/60+K52/3600</f>
        <v>948.2833333333333</v>
      </c>
      <c r="T52" s="15">
        <f>Q15+(Q16-Q15)*(S52-S15)/(S16-S15)</f>
        <v>5.3928633503278832E-2</v>
      </c>
      <c r="U52" s="16">
        <f>O52*T52</f>
        <v>4834.4862790349343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39</v>
      </c>
      <c r="I53" s="4">
        <v>12</v>
      </c>
      <c r="J53" s="4">
        <v>19</v>
      </c>
      <c r="K53" s="4"/>
      <c r="L53" s="4"/>
      <c r="M53" s="4"/>
      <c r="N53" s="4"/>
      <c r="O53" s="4">
        <v>106701</v>
      </c>
      <c r="Q53" s="13">
        <f>O53*$Q$15</f>
        <v>5754.8350667806317</v>
      </c>
      <c r="R53" s="14"/>
      <c r="S53" s="1">
        <f>H53*24+I53+J52/60+K53/3600</f>
        <v>948.3</v>
      </c>
      <c r="T53" s="15">
        <f>Q15+(Q16-Q15)*(S53-S15)/(S16-S15)</f>
        <v>5.3928497279592154E-2</v>
      </c>
      <c r="U53" s="16">
        <f>O53*T53</f>
        <v>5754.224588229762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39</v>
      </c>
      <c r="I54" s="4">
        <v>12</v>
      </c>
      <c r="J54" s="4">
        <v>19</v>
      </c>
      <c r="K54" s="4">
        <v>0</v>
      </c>
      <c r="L54" s="4"/>
      <c r="M54" s="4"/>
      <c r="N54" s="4"/>
      <c r="O54" s="4">
        <v>86966</v>
      </c>
      <c r="Q54" s="13">
        <f>O54*$Q$15</f>
        <v>4690.4432612407045</v>
      </c>
      <c r="R54" s="14"/>
      <c r="S54" s="1">
        <f>H54*24+I54+J53/60+K54/3600</f>
        <v>948.31666666666672</v>
      </c>
      <c r="T54" s="15">
        <f>Q15+(Q16-Q15)*(S54-S15)/(S16-S15)</f>
        <v>5.3928361055905476E-2</v>
      </c>
      <c r="U54" s="16">
        <f>O54*T54</f>
        <v>4689.9338475878758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39</v>
      </c>
      <c r="I55" s="4">
        <v>12</v>
      </c>
      <c r="J55" s="4">
        <v>20</v>
      </c>
      <c r="K55" s="4"/>
      <c r="L55" s="4"/>
      <c r="M55" s="4"/>
      <c r="N55" s="4"/>
      <c r="O55" s="4">
        <v>92851</v>
      </c>
      <c r="Q55" s="13">
        <f>O55*$Q$15</f>
        <v>5007.846138139741</v>
      </c>
      <c r="R55" s="14"/>
      <c r="S55" s="1">
        <f>H55*24+I55+J54/60+K55/3600</f>
        <v>948.31666666666672</v>
      </c>
      <c r="T55" s="15">
        <f>Q15+(Q16-Q15)*(S55-S15)/(S16-S15)</f>
        <v>5.3928361055905476E-2</v>
      </c>
      <c r="U55" s="16">
        <f>O55*T55</f>
        <v>5007.3022524018797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39</v>
      </c>
      <c r="I56" s="4">
        <v>12</v>
      </c>
      <c r="J56" s="4">
        <v>21</v>
      </c>
      <c r="K56" s="4"/>
      <c r="L56" s="4"/>
      <c r="M56" s="4"/>
      <c r="N56" s="4"/>
      <c r="O56" s="4">
        <v>84677</v>
      </c>
      <c r="Q56" s="13">
        <f>O56*$Q$15</f>
        <v>4566.987834694929</v>
      </c>
      <c r="R56" s="14"/>
      <c r="S56" s="1">
        <f>H56*24+I56+J55/60+K56/3600</f>
        <v>948.33333333333337</v>
      </c>
      <c r="T56" s="15">
        <f>Q15+(Q16-Q15)*(S56-S15)/(S16-S15)</f>
        <v>5.3928224832218805E-2</v>
      </c>
      <c r="U56" s="16">
        <f>O56*T56</f>
        <v>4566.4802941177913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39</v>
      </c>
      <c r="I57" s="4">
        <v>12</v>
      </c>
      <c r="J57" s="4">
        <v>22</v>
      </c>
      <c r="K57" s="4"/>
      <c r="L57" s="4"/>
      <c r="M57" s="4"/>
      <c r="N57" s="4"/>
      <c r="O57" s="4">
        <v>163806</v>
      </c>
      <c r="Q57" s="13">
        <f>O57*$Q$15</f>
        <v>8834.7486241841052</v>
      </c>
      <c r="R57" s="14"/>
      <c r="S57" s="1">
        <f>H57*24+I57+J56/60+K57/3600</f>
        <v>948.35</v>
      </c>
      <c r="T57" s="15">
        <f>Q15+(Q16-Q15)*(S57-S15)/(S16-S15)</f>
        <v>5.3928088608532126E-2</v>
      </c>
      <c r="U57" s="16">
        <f>O57*T57</f>
        <v>8833.7444826092142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39</v>
      </c>
      <c r="I58" s="4">
        <v>12</v>
      </c>
      <c r="J58" s="4">
        <v>23</v>
      </c>
      <c r="K58" s="4"/>
      <c r="L58" s="4"/>
      <c r="M58" s="4"/>
      <c r="N58" s="4"/>
      <c r="O58" s="4">
        <v>179622</v>
      </c>
      <c r="Q58" s="13">
        <f>O58*$Q$15</f>
        <v>9687.7722267389308</v>
      </c>
      <c r="R58" s="14"/>
      <c r="S58" s="1">
        <f>H58*24+I58+J57/60+K58/3600</f>
        <v>948.36666666666667</v>
      </c>
      <c r="T58" s="15">
        <f>Q15+(Q16-Q15)*(S58-S15)/(S16-S15)</f>
        <v>5.3927952384845448E-2</v>
      </c>
      <c r="U58" s="16">
        <f>O58*T58</f>
        <v>9686.6466632707088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39</v>
      </c>
      <c r="I59" s="4">
        <v>12</v>
      </c>
      <c r="J59" s="4">
        <v>24</v>
      </c>
      <c r="K59" s="4"/>
      <c r="L59" s="4"/>
      <c r="M59" s="4"/>
      <c r="N59" s="4"/>
      <c r="O59" s="4">
        <v>137290</v>
      </c>
      <c r="Q59" s="13">
        <f>O59*$Q$15</f>
        <v>7404.6288818128505</v>
      </c>
      <c r="R59" s="14"/>
      <c r="S59" s="1">
        <f>H59*24+I59+J58/60+K59/3600</f>
        <v>948.38333333333333</v>
      </c>
      <c r="T59" s="15">
        <f>Q15+(Q16-Q15)*(S59-S15)/(S16-S15)</f>
        <v>5.392781616115877E-2</v>
      </c>
      <c r="U59" s="16">
        <f>O59*T59</f>
        <v>7403.7498807654874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39</v>
      </c>
      <c r="I60" s="4">
        <v>12</v>
      </c>
      <c r="J60" s="4">
        <v>24</v>
      </c>
      <c r="K60" s="4"/>
      <c r="L60" s="4"/>
      <c r="M60" s="4"/>
      <c r="N60" s="4"/>
      <c r="O60" s="4">
        <v>580813</v>
      </c>
      <c r="Q60" s="13">
        <f>O60*$Q$15</f>
        <v>31325.695350953218</v>
      </c>
      <c r="R60" s="14"/>
      <c r="S60" s="1">
        <f>H60*24+I60+J59/60+K60/3600</f>
        <v>948.4</v>
      </c>
      <c r="T60" s="15">
        <f>Q15+(Q16-Q15)*(S60-S15)/(S16-S15)</f>
        <v>5.3927679937472092E-2</v>
      </c>
      <c r="U60" s="16">
        <f>O60*T60</f>
        <v>31321.897567522978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39</v>
      </c>
      <c r="I61" s="4">
        <v>12</v>
      </c>
      <c r="J61" s="4">
        <v>31</v>
      </c>
      <c r="K61" s="4"/>
      <c r="L61" s="4"/>
      <c r="M61" s="4"/>
      <c r="N61" s="4"/>
      <c r="O61" s="4">
        <v>84618</v>
      </c>
      <c r="Q61" s="13">
        <f>O61*$Q$15</f>
        <v>4563.8057157931371</v>
      </c>
      <c r="R61" s="14"/>
      <c r="S61" s="1">
        <f>H61*24+I61+J60/60+K61/3600</f>
        <v>948.4</v>
      </c>
      <c r="T61" s="15">
        <f>Q15+(Q16-Q15)*(S61-S15)/(S16-S15)</f>
        <v>5.3927679937472092E-2</v>
      </c>
      <c r="U61" s="16">
        <f>O61*T61</f>
        <v>4563.2524209490139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39</v>
      </c>
      <c r="I62" s="4">
        <v>12</v>
      </c>
      <c r="J62" s="4">
        <v>32</v>
      </c>
      <c r="K62" s="4"/>
      <c r="L62" s="4"/>
      <c r="M62" s="4"/>
      <c r="N62" s="4"/>
      <c r="O62" s="4">
        <v>110856</v>
      </c>
      <c r="Q62" s="13">
        <f>O62*$Q$15</f>
        <v>5978.9317453728991</v>
      </c>
      <c r="R62" s="14"/>
      <c r="S62" s="1">
        <f>H62*24+I62+J61/60+K62/3600</f>
        <v>948.51666666666665</v>
      </c>
      <c r="T62" s="15">
        <f>Q15+(Q16-Q15)*(S62-S15)/(S16-S15)</f>
        <v>5.3926726371665352E-2</v>
      </c>
      <c r="U62" s="16">
        <f>O62*T62</f>
        <v>5978.1011786573345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39</v>
      </c>
      <c r="I63" s="4">
        <v>12</v>
      </c>
      <c r="J63" s="4">
        <v>33</v>
      </c>
      <c r="K63" s="4"/>
      <c r="L63" s="4"/>
      <c r="M63" s="4"/>
      <c r="N63" s="4"/>
      <c r="O63" s="4">
        <v>70762</v>
      </c>
      <c r="Q63" s="13">
        <f>O63*$Q$15</f>
        <v>3816.4931818401992</v>
      </c>
      <c r="R63" s="14"/>
      <c r="S63" s="1">
        <f>H63*24+I63+J62/60+K63/3600</f>
        <v>948.5333333333333</v>
      </c>
      <c r="T63" s="15">
        <f>Q15+(Q16-Q15)*(S63-S15)/(S16-S15)</f>
        <v>5.3926590147978674E-2</v>
      </c>
      <c r="U63" s="16">
        <f>O63*T63</f>
        <v>3815.9533720512668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39</v>
      </c>
      <c r="I64" s="4">
        <v>12</v>
      </c>
      <c r="J64" s="4">
        <v>33</v>
      </c>
      <c r="K64" s="4"/>
      <c r="L64" s="4"/>
      <c r="M64" s="4"/>
      <c r="N64" s="4"/>
      <c r="O64" s="4">
        <v>72142</v>
      </c>
      <c r="Q64" s="13">
        <f>O64*$Q$15</f>
        <v>3890.9224036109163</v>
      </c>
      <c r="R64" s="14"/>
      <c r="S64" s="1">
        <f>H64*24+I64+J63/60+K64/3600</f>
        <v>948.55</v>
      </c>
      <c r="T64" s="15">
        <f>Q15+(Q16-Q15)*(S64-S15)/(S16-S15)</f>
        <v>5.3926453924292003E-2</v>
      </c>
      <c r="U64" s="16">
        <f>O64*T64</f>
        <v>3890.3622390062737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39</v>
      </c>
      <c r="I65" s="4">
        <v>12</v>
      </c>
      <c r="J65" s="4">
        <v>34</v>
      </c>
      <c r="K65" s="4"/>
      <c r="L65" s="4"/>
      <c r="M65" s="4"/>
      <c r="N65" s="4"/>
      <c r="O65" s="4">
        <v>87155</v>
      </c>
      <c r="Q65" s="13">
        <f>O65*$Q$15</f>
        <v>4700.6368285701728</v>
      </c>
      <c r="R65" s="14"/>
      <c r="S65" s="1">
        <f>H65*24+I65+J64/60+K65/3600</f>
        <v>948.55</v>
      </c>
      <c r="T65" s="15">
        <f>Q15+(Q16-Q15)*(S65-S15)/(S16-S15)</f>
        <v>5.3926453924292003E-2</v>
      </c>
      <c r="U65" s="16">
        <f>O65*T65</f>
        <v>4699.9600917716698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39</v>
      </c>
      <c r="I66" s="4">
        <v>12</v>
      </c>
      <c r="J66" s="4">
        <v>35</v>
      </c>
      <c r="K66" s="4"/>
      <c r="L66" s="4"/>
      <c r="M66" s="4"/>
      <c r="N66" s="4"/>
      <c r="O66" s="4">
        <v>49258</v>
      </c>
      <c r="Q66" s="13">
        <f>O66*$Q$15</f>
        <v>2656.6917434652005</v>
      </c>
      <c r="R66" s="14"/>
      <c r="S66" s="1">
        <f>H66*24+I66+J65/60+K66/3600</f>
        <v>948.56666666666672</v>
      </c>
      <c r="T66" s="15">
        <f>Q15+(Q16-Q15)*(S66-S15)/(S16-S15)</f>
        <v>5.3926317700605325E-2</v>
      </c>
      <c r="U66" s="16">
        <f>O66*T66</f>
        <v>2656.302557296417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39</v>
      </c>
      <c r="I67" s="4">
        <v>12</v>
      </c>
      <c r="J67" s="4">
        <v>36</v>
      </c>
      <c r="K67" s="4"/>
      <c r="L67" s="4"/>
      <c r="M67" s="4"/>
      <c r="N67" s="4"/>
      <c r="O67" s="4">
        <v>39416</v>
      </c>
      <c r="Q67" s="13">
        <f>O67*$Q$15</f>
        <v>2125.8711632714349</v>
      </c>
      <c r="R67" s="14"/>
      <c r="S67" s="1">
        <f>H67*24+I67+J66/60+K67/3600</f>
        <v>948.58333333333337</v>
      </c>
      <c r="T67" s="15">
        <f>Q15+(Q16-Q15)*(S67-S15)/(S16-S15)</f>
        <v>5.3926181476918647E-2</v>
      </c>
      <c r="U67" s="16">
        <f>O67*T67</f>
        <v>2125.5543690942254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39</v>
      </c>
      <c r="I68" s="4">
        <v>12</v>
      </c>
      <c r="J68" s="4">
        <v>37</v>
      </c>
      <c r="K68" s="4"/>
      <c r="L68" s="4"/>
      <c r="M68" s="4"/>
      <c r="N68" s="4"/>
      <c r="O68" s="4">
        <v>53350</v>
      </c>
      <c r="Q68" s="13">
        <f>O68*$Q$15</f>
        <v>2877.3905662809789</v>
      </c>
      <c r="R68" s="14"/>
      <c r="S68" s="1">
        <f>H68*24+I68+J67/60+K68/3600</f>
        <v>948.6</v>
      </c>
      <c r="T68" s="15">
        <f>Q15+(Q16-Q15)*(S68-S15)/(S16-S15)</f>
        <v>5.3926045253231969E-2</v>
      </c>
      <c r="U68" s="16">
        <f>O68*T68</f>
        <v>2876.9545142599254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39</v>
      </c>
      <c r="I69" s="4">
        <v>12</v>
      </c>
      <c r="J69" s="4">
        <v>37</v>
      </c>
      <c r="K69" s="4"/>
      <c r="L69" s="4"/>
      <c r="M69" s="4"/>
      <c r="N69" s="4"/>
      <c r="O69" s="4">
        <v>41435</v>
      </c>
      <c r="Q69" s="13">
        <f>O69*$Q$15</f>
        <v>2234.7643507751145</v>
      </c>
      <c r="R69" s="14"/>
      <c r="S69" s="1">
        <f>H69*24+I69+J68/60+K69/3600</f>
        <v>948.61666666666667</v>
      </c>
      <c r="T69" s="15">
        <f>Q15+(Q16-Q15)*(S69-S15)/(S16-S15)</f>
        <v>5.3925909029545291E-2</v>
      </c>
      <c r="U69" s="16">
        <f>O69*T69</f>
        <v>2234.4200406392092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39</v>
      </c>
      <c r="I70" s="4">
        <v>12</v>
      </c>
      <c r="J70" s="4">
        <v>38</v>
      </c>
      <c r="K70" s="4"/>
      <c r="L70" s="4"/>
      <c r="M70" s="4"/>
      <c r="N70" s="4"/>
      <c r="O70" s="4">
        <v>37024</v>
      </c>
      <c r="Q70" s="13">
        <f>O70*$Q$15</f>
        <v>1996.8605122021922</v>
      </c>
      <c r="R70" s="14"/>
      <c r="S70" s="1">
        <f>H70*24+I70+J69/60+K70/3600</f>
        <v>948.61666666666667</v>
      </c>
      <c r="T70" s="15">
        <f>Q15+(Q16-Q15)*(S70-S15)/(S16-S15)</f>
        <v>5.3925909029545291E-2</v>
      </c>
      <c r="U70" s="16">
        <f>O70*T70</f>
        <v>1996.5528559098848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39</v>
      </c>
      <c r="I71" s="4">
        <v>12</v>
      </c>
      <c r="J71" s="4">
        <v>39</v>
      </c>
      <c r="K71" s="4"/>
      <c r="L71" s="4"/>
      <c r="M71" s="4"/>
      <c r="N71" s="4"/>
      <c r="O71" s="4">
        <v>85341</v>
      </c>
      <c r="Q71" s="13">
        <f>O71*$Q$15</f>
        <v>4602.8001558947517</v>
      </c>
      <c r="R71" s="14"/>
      <c r="S71" s="1">
        <f>H71*24+I71+J70/60+K71/3600</f>
        <v>948.63333333333333</v>
      </c>
      <c r="T71" s="15">
        <f>Q15+(Q16-Q15)*(S71-S15)/(S16-S15)</f>
        <v>5.3925772805858613E-2</v>
      </c>
      <c r="U71" s="16">
        <f>O71*T71</f>
        <v>4602.0793770247801</v>
      </c>
    </row>
    <row r="72" spans="1:21" ht="15.75">
      <c r="A72"/>
      <c r="C72" s="18">
        <v>54</v>
      </c>
      <c r="D72" s="12"/>
      <c r="E72" s="12"/>
      <c r="F72" s="4">
        <v>2013</v>
      </c>
      <c r="G72" s="4">
        <v>8</v>
      </c>
      <c r="H72" s="4">
        <v>39</v>
      </c>
      <c r="I72" s="4">
        <v>12</v>
      </c>
      <c r="J72" s="29">
        <v>40</v>
      </c>
      <c r="K72" s="4"/>
      <c r="L72" s="4"/>
      <c r="M72" s="4"/>
      <c r="N72" s="4"/>
      <c r="O72" s="4">
        <v>96282</v>
      </c>
      <c r="Q72" s="13">
        <f>O72*$Q$15</f>
        <v>5192.894442411719</v>
      </c>
      <c r="R72" s="14"/>
      <c r="S72" s="1">
        <f>H72*24+I72+J71/60+K72/3600</f>
        <v>948.65</v>
      </c>
      <c r="T72" s="15">
        <f>Q15+(Q16-Q15)*(S72-S15)/(S16-S15)</f>
        <v>5.3925636582171935E-2</v>
      </c>
      <c r="U72" s="16">
        <f>O72*T72</f>
        <v>5192.0681414046785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39</v>
      </c>
      <c r="I73" s="4">
        <v>12</v>
      </c>
      <c r="J73" s="4">
        <v>41</v>
      </c>
      <c r="K73" s="29"/>
      <c r="L73" s="29"/>
      <c r="M73" s="29"/>
      <c r="N73" s="29"/>
      <c r="O73" s="4">
        <v>98416</v>
      </c>
      <c r="P73" s="2"/>
      <c r="Q73" s="30">
        <f>O73*$Q$15</f>
        <v>5307.9900650629579</v>
      </c>
      <c r="R73" s="31"/>
      <c r="S73" s="2">
        <f>H73*24+I73+J72/60+K73/3600</f>
        <v>948.66666666666663</v>
      </c>
      <c r="T73" s="32">
        <f>Q15+(Q16-Q15)*(S73-S15)/(S16-S15)</f>
        <v>5.3925500358485264E-2</v>
      </c>
      <c r="U73" s="33">
        <f>O73*T73</f>
        <v>5307.132043280686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39</v>
      </c>
      <c r="I74" s="4">
        <v>12</v>
      </c>
      <c r="J74" s="4">
        <v>41</v>
      </c>
      <c r="K74" s="4"/>
      <c r="L74" s="4"/>
      <c r="M74" s="4"/>
      <c r="N74" s="4"/>
      <c r="O74" s="4">
        <v>238074</v>
      </c>
      <c r="Q74" s="13">
        <f>O74*$Q$15</f>
        <v>12840.335176696864</v>
      </c>
      <c r="R74" s="14"/>
      <c r="S74" s="1">
        <f>H74*24+I74+J73/60+K74/3600</f>
        <v>948.68333333333328</v>
      </c>
      <c r="T74" s="15">
        <f>Q15+(Q16-Q15)*(S74-S15)/(S16-S15)</f>
        <v>5.3925364134798585E-2</v>
      </c>
      <c r="U74" s="16">
        <f>O74*T74</f>
        <v>12838.227141028039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39</v>
      </c>
      <c r="I75" s="4">
        <v>12</v>
      </c>
      <c r="J75" s="4">
        <v>42</v>
      </c>
      <c r="K75" s="4"/>
      <c r="L75" s="4"/>
      <c r="M75" s="4"/>
      <c r="N75" s="4"/>
      <c r="O75" s="4">
        <v>213206</v>
      </c>
      <c r="Q75" s="13">
        <f>O75*$Q$15</f>
        <v>11499.099026701075</v>
      </c>
      <c r="R75" s="14"/>
      <c r="S75" s="1">
        <f>H75*24+I75+J74/60+K75/3600</f>
        <v>948.68333333333328</v>
      </c>
      <c r="T75" s="15">
        <f>Q15+(Q16-Q15)*(S75-S15)/(S16-S15)</f>
        <v>5.3925364134798585E-2</v>
      </c>
      <c r="U75" s="16">
        <f>O75*T75</f>
        <v>11497.211185723867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39</v>
      </c>
      <c r="I76" s="4">
        <v>12</v>
      </c>
      <c r="J76" s="4">
        <v>43</v>
      </c>
      <c r="K76" s="4"/>
      <c r="L76" s="4"/>
      <c r="M76" s="4"/>
      <c r="N76" s="4"/>
      <c r="O76" s="4">
        <v>221381</v>
      </c>
      <c r="Q76" s="13">
        <f>O76*$Q$15</f>
        <v>11940.011264364563</v>
      </c>
      <c r="R76" s="14"/>
      <c r="S76" s="1">
        <f>H76*24+I76+J75/60+K76/3600</f>
        <v>948.7</v>
      </c>
      <c r="T76" s="15">
        <f>Q15+(Q16-Q15)*(S76-S15)/(S16-S15)</f>
        <v>5.3925227911111907E-2</v>
      </c>
      <c r="U76" s="16">
        <f>O76*T76</f>
        <v>11938.020880189864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39</v>
      </c>
      <c r="I77" s="4">
        <v>12</v>
      </c>
      <c r="J77" s="4">
        <v>44</v>
      </c>
      <c r="K77" s="4"/>
      <c r="L77" s="4"/>
      <c r="M77" s="4"/>
      <c r="N77" s="4"/>
      <c r="O77" s="4">
        <v>207616</v>
      </c>
      <c r="Q77" s="13">
        <f>O77*$Q$15</f>
        <v>11197.606744310997</v>
      </c>
      <c r="R77" s="14"/>
      <c r="S77" s="1">
        <f>H77*24+I77+J76/60+K77/3600</f>
        <v>948.7166666666667</v>
      </c>
      <c r="T77" s="15">
        <f>Q15+(Q16-Q15)*(S77-S15)/(S16-S15)</f>
        <v>5.3925091687425229E-2</v>
      </c>
      <c r="U77" s="16">
        <f>O77*T77</f>
        <v>11195.711835776476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39</v>
      </c>
      <c r="I78" s="4">
        <v>12</v>
      </c>
      <c r="J78" s="4">
        <v>44</v>
      </c>
      <c r="K78" s="4"/>
      <c r="L78" s="4"/>
      <c r="M78" s="4"/>
      <c r="N78" s="4"/>
      <c r="O78" s="4">
        <v>257539</v>
      </c>
      <c r="Q78" s="13">
        <f>O78*$Q$15</f>
        <v>13890.164743194695</v>
      </c>
      <c r="R78" s="14"/>
      <c r="S78" s="1">
        <f>H78*24+I78+J77/60+K78/3600</f>
        <v>948.73333333333335</v>
      </c>
      <c r="T78" s="15">
        <f>Q15+(Q16-Q15)*(S78-S15)/(S16-S15)</f>
        <v>5.3924955463738551E-2</v>
      </c>
      <c r="U78" s="16">
        <f>O78*T78</f>
        <v>13887.779105175763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39</v>
      </c>
      <c r="I79" s="4">
        <v>12</v>
      </c>
      <c r="J79" s="4">
        <v>45</v>
      </c>
      <c r="K79" s="4"/>
      <c r="L79" s="4"/>
      <c r="M79" s="4"/>
      <c r="N79" s="4"/>
      <c r="O79" s="4">
        <v>309130</v>
      </c>
      <c r="Q79" s="13">
        <f>O79*$Q$15</f>
        <v>16672.685018827346</v>
      </c>
      <c r="R79" s="14"/>
      <c r="S79" s="1">
        <f>H79*24+I79+J78/60+K79/3600</f>
        <v>948.73333333333335</v>
      </c>
      <c r="T79" s="15">
        <f>Q15+(Q16-Q15)*(S79-S15)/(S16-S15)</f>
        <v>5.3924955463738551E-2</v>
      </c>
      <c r="U79" s="16">
        <f>O79*T79</f>
        <v>16669.821482505497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39</v>
      </c>
      <c r="I80" s="4">
        <v>12</v>
      </c>
      <c r="J80" s="4">
        <v>46</v>
      </c>
      <c r="K80" s="4"/>
      <c r="L80" s="4"/>
      <c r="M80" s="4"/>
      <c r="N80" s="4"/>
      <c r="O80" s="4">
        <v>287714</v>
      </c>
      <c r="Q80" s="13">
        <f>O80*$Q$15</f>
        <v>15517.629791695699</v>
      </c>
      <c r="R80" s="14"/>
      <c r="S80" s="1">
        <f>H80*24+I80+J79/60+K80/3600</f>
        <v>948.75</v>
      </c>
      <c r="T80" s="15">
        <f>Q15+(Q16-Q15)*(S80-S15)/(S16-S15)</f>
        <v>5.3924819240051873E-2</v>
      </c>
      <c r="U80" s="16">
        <f>O80*T80</f>
        <v>15514.925442832284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39</v>
      </c>
      <c r="I81" s="4">
        <v>12</v>
      </c>
      <c r="J81" s="4">
        <v>47</v>
      </c>
      <c r="K81" s="4"/>
      <c r="L81" s="4"/>
      <c r="M81" s="4"/>
      <c r="N81" s="4"/>
      <c r="O81" s="4">
        <v>200429</v>
      </c>
      <c r="Q81" s="13">
        <f>O81*$Q$15</f>
        <v>10809.981514697851</v>
      </c>
      <c r="R81" s="14"/>
      <c r="S81" s="1">
        <f>H81*24+I81+J80/60+K81/3600</f>
        <v>948.76666666666665</v>
      </c>
      <c r="T81" s="15">
        <f>Q15+(Q16-Q15)*(S81-S15)/(S16-S15)</f>
        <v>5.3924683016365195E-2</v>
      </c>
      <c r="U81" s="33">
        <f>O81*T81</f>
        <v>10808.070292287061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39</v>
      </c>
      <c r="I82" s="4">
        <v>12</v>
      </c>
      <c r="J82" s="4">
        <v>48</v>
      </c>
      <c r="K82" s="4"/>
      <c r="L82" s="4"/>
      <c r="M82" s="4"/>
      <c r="N82" s="4"/>
      <c r="O82" s="4">
        <v>160437</v>
      </c>
      <c r="Q82" s="13">
        <f>O82*$Q$15</f>
        <v>8653.044241469941</v>
      </c>
      <c r="R82" s="14"/>
      <c r="S82" s="1">
        <f>H82*24+I82+J81/60+K82/3600</f>
        <v>948.7833333333333</v>
      </c>
      <c r="T82" s="15">
        <f>Q15+(Q16-Q15)*(S82-S15)/(S16-S15)</f>
        <v>5.3924546792678524E-2</v>
      </c>
      <c r="U82" s="16">
        <f>O82*T82</f>
        <v>8651.4925137769642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39</v>
      </c>
      <c r="I83" s="4">
        <v>12</v>
      </c>
      <c r="J83" s="4">
        <v>49</v>
      </c>
      <c r="K83" s="4"/>
      <c r="L83" s="4"/>
      <c r="M83" s="4"/>
      <c r="N83" s="4"/>
      <c r="O83" s="4">
        <v>194083</v>
      </c>
      <c r="Q83" s="13">
        <f>O83*$Q$15</f>
        <v>10467.714962989901</v>
      </c>
      <c r="R83" s="14"/>
      <c r="S83" s="1">
        <f>H83*24+I83+J82/60+K83/3600</f>
        <v>948.8</v>
      </c>
      <c r="T83" s="15">
        <f>Q15+(Q16-Q15)*(S83-S15)/(S16-S15)</f>
        <v>5.3924410568991846E-2</v>
      </c>
      <c r="U83" s="16">
        <f>O83*T83</f>
        <v>10465.811376461645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39</v>
      </c>
      <c r="I84" s="4">
        <v>12</v>
      </c>
      <c r="J84" s="4">
        <v>50</v>
      </c>
      <c r="K84" s="4"/>
      <c r="L84" s="4"/>
      <c r="M84" s="4"/>
      <c r="N84" s="4"/>
      <c r="O84" s="4">
        <v>177048</v>
      </c>
      <c r="Q84" s="13">
        <f>O84*$Q$15</f>
        <v>9548.9455478709424</v>
      </c>
      <c r="R84" s="14"/>
      <c r="S84" s="1">
        <f>H84*24+I84+J83/60+K84/3600</f>
        <v>948.81666666666672</v>
      </c>
      <c r="T84" s="15">
        <f>Q15+(Q16-Q15)*(S84-S15)/(S16-S15)</f>
        <v>5.3924274345305168E-2</v>
      </c>
      <c r="U84" s="16">
        <f>O84*T84</f>
        <v>9547.1849242875887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39</v>
      </c>
      <c r="I85" s="4">
        <v>12</v>
      </c>
      <c r="J85" s="4">
        <v>50</v>
      </c>
      <c r="K85" s="4"/>
      <c r="L85" s="4"/>
      <c r="M85" s="4"/>
      <c r="N85" s="4"/>
      <c r="O85" s="4">
        <v>377082</v>
      </c>
      <c r="Q85" s="13">
        <f>O85*$Q$15</f>
        <v>20337.623046192391</v>
      </c>
      <c r="R85" s="14"/>
      <c r="S85" s="1">
        <f>H85*24+I85+J84/60+K85/3600</f>
        <v>948.83333333333337</v>
      </c>
      <c r="T85" s="15">
        <f>Q$15+(Q$16-Q$15)*(S85-S$15)/(S$16-S$15)</f>
        <v>5.392413812161849E-2</v>
      </c>
      <c r="U85" s="16">
        <f>O85*T85</f>
        <v>20333.821851176144</v>
      </c>
    </row>
    <row r="86" spans="1:21" ht="15.75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39</v>
      </c>
      <c r="I86" s="4">
        <v>12</v>
      </c>
      <c r="J86" s="29">
        <v>51</v>
      </c>
      <c r="K86" s="4"/>
      <c r="L86" s="4"/>
      <c r="M86" s="4"/>
      <c r="N86" s="4"/>
      <c r="O86" s="4">
        <v>294656</v>
      </c>
      <c r="Q86" s="13">
        <f>O86*$Q$15</f>
        <v>15892.04113773361</v>
      </c>
      <c r="R86" s="14"/>
      <c r="S86" s="1">
        <f>H86*24+I86+J85/60+K86/3600</f>
        <v>948.83333333333337</v>
      </c>
      <c r="T86" s="15">
        <f>Q$15+(Q$16-Q$15)*(S86-S$15)/(S$16-S$15)</f>
        <v>5.392413812161849E-2</v>
      </c>
      <c r="U86" s="16">
        <f>O86*T86</f>
        <v>15889.070842363617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39</v>
      </c>
      <c r="I87" s="4">
        <v>12</v>
      </c>
      <c r="J87" s="1">
        <v>52</v>
      </c>
      <c r="K87" s="29"/>
      <c r="L87" s="29"/>
      <c r="M87" s="29"/>
      <c r="N87" s="29"/>
      <c r="O87" s="4">
        <v>296986</v>
      </c>
      <c r="P87" s="2"/>
      <c r="Q87" s="30">
        <f>O87*$Q$15</f>
        <v>16017.707867245037</v>
      </c>
      <c r="R87" s="31"/>
      <c r="S87" s="2">
        <f>H87*24+I87+J86/60+K87/3600</f>
        <v>948.85</v>
      </c>
      <c r="T87" s="15">
        <f>Q$15+(Q$16-Q$15)*(S87-S$15)/(S$16-S$15)</f>
        <v>5.3924001897931811E-2</v>
      </c>
      <c r="U87" s="16">
        <f>O87*T87</f>
        <v>16014.673627659176</v>
      </c>
    </row>
    <row r="88" spans="1:21">
      <c r="C88" s="18">
        <v>70</v>
      </c>
      <c r="F88" s="4">
        <v>2013</v>
      </c>
      <c r="G88" s="4">
        <v>8</v>
      </c>
      <c r="H88" s="4">
        <v>39</v>
      </c>
      <c r="I88" s="4">
        <v>12</v>
      </c>
      <c r="J88" s="1">
        <v>53</v>
      </c>
      <c r="O88" s="4">
        <v>790663</v>
      </c>
      <c r="Q88" s="34">
        <f>O88*$Q$15</f>
        <v>42643.791139782894</v>
      </c>
      <c r="S88" s="1">
        <f>H88*24+I88+J87/60+K88/3600</f>
        <v>948.86666666666667</v>
      </c>
      <c r="T88" s="15">
        <f>Q$15+(Q$16-Q$15)*(S88-S$15)/(S$16-S$15)</f>
        <v>5.3923865674245133E-2</v>
      </c>
      <c r="U88" s="16">
        <f>O88*T88</f>
        <v>42635.605405595677</v>
      </c>
    </row>
    <row r="89" spans="1:21" ht="15.75">
      <c r="C89">
        <v>71</v>
      </c>
      <c r="F89" s="4">
        <v>2013</v>
      </c>
      <c r="G89" s="4">
        <v>8</v>
      </c>
      <c r="H89" s="4">
        <v>39</v>
      </c>
      <c r="I89" s="4">
        <v>12</v>
      </c>
      <c r="J89" s="1">
        <v>54</v>
      </c>
      <c r="O89" s="6">
        <v>308589</v>
      </c>
      <c r="Q89" s="34">
        <f>O89*$Q$15</f>
        <v>16643.506606524479</v>
      </c>
      <c r="S89" s="1">
        <f>H89*24+I89+J88/60+K89/3600</f>
        <v>948.88333333333333</v>
      </c>
      <c r="T89" s="15">
        <f>Q$15+(Q$16-Q$15)*(S89-S$15)/(S$16-S$15)</f>
        <v>5.3923729450558455E-2</v>
      </c>
      <c r="U89" s="33">
        <f>O89*T89</f>
        <v>16640.269747418384</v>
      </c>
    </row>
    <row r="90" spans="1:21">
      <c r="C90" s="18">
        <v>72</v>
      </c>
      <c r="F90" s="4">
        <v>2013</v>
      </c>
      <c r="G90" s="4">
        <v>8</v>
      </c>
      <c r="H90" s="4">
        <v>39</v>
      </c>
      <c r="I90" s="4">
        <v>12</v>
      </c>
      <c r="J90" s="1">
        <v>55</v>
      </c>
      <c r="O90" s="4">
        <v>331587</v>
      </c>
      <c r="Q90" s="34">
        <f>O90*$Q$15</f>
        <v>17883.88576759908</v>
      </c>
      <c r="S90" s="1">
        <f>H90*24+I90+J89/60+K90/3600</f>
        <v>948.9</v>
      </c>
      <c r="T90" s="15">
        <f>Q$15+(Q$16-Q$15)*(S90-S$15)/(S$16-S$15)</f>
        <v>5.3923593226871784E-2</v>
      </c>
      <c r="U90" s="16">
        <f>O90*T90</f>
        <v>17880.362507318736</v>
      </c>
    </row>
    <row r="91" spans="1:21">
      <c r="C91" s="18">
        <v>73</v>
      </c>
      <c r="F91" s="4">
        <v>2013</v>
      </c>
      <c r="G91" s="4">
        <v>8</v>
      </c>
      <c r="H91" s="4">
        <v>39</v>
      </c>
      <c r="I91" s="4">
        <v>12</v>
      </c>
      <c r="J91" s="1">
        <v>56</v>
      </c>
      <c r="O91" s="4">
        <v>334727</v>
      </c>
      <c r="Q91" s="34">
        <f>O91*$Q$15</f>
        <v>18053.239214236797</v>
      </c>
      <c r="S91" s="1">
        <f>H91*24+I91+J90/60+K91/3600</f>
        <v>948.91666666666663</v>
      </c>
      <c r="T91" s="15">
        <f>Q$15+(Q$16-Q$15)*(S91-S$15)/(S$16-S$15)</f>
        <v>5.3923457003185106E-2</v>
      </c>
      <c r="U91" s="16">
        <f>O91*T91</f>
        <v>18049.636992305142</v>
      </c>
    </row>
    <row r="92" spans="1:21">
      <c r="C92">
        <v>74</v>
      </c>
      <c r="F92" s="4">
        <v>2013</v>
      </c>
      <c r="G92" s="4">
        <v>8</v>
      </c>
      <c r="H92" s="4">
        <v>39</v>
      </c>
      <c r="I92" s="4">
        <v>12</v>
      </c>
      <c r="J92" s="1">
        <v>57</v>
      </c>
      <c r="O92" s="6">
        <v>255382</v>
      </c>
      <c r="Q92" s="34">
        <f>O92*$Q$15</f>
        <v>13773.828633513944</v>
      </c>
      <c r="S92" s="1">
        <f>H92*24+I92+J91/60+K92/3600</f>
        <v>948.93333333333328</v>
      </c>
      <c r="T92" s="15">
        <f>Q$15+(Q$16-Q$15)*(S92-S$15)/(S$16-S$15)</f>
        <v>5.3923320779498428E-2</v>
      </c>
      <c r="U92" s="16">
        <f>O92*T92</f>
        <v>13771.045507309867</v>
      </c>
    </row>
    <row r="93" spans="1:21">
      <c r="C93" s="18">
        <v>75</v>
      </c>
      <c r="F93" s="4">
        <v>2013</v>
      </c>
      <c r="G93" s="4">
        <v>8</v>
      </c>
      <c r="H93" s="4">
        <v>39</v>
      </c>
      <c r="I93" s="4">
        <v>12</v>
      </c>
      <c r="J93" s="1">
        <v>57</v>
      </c>
      <c r="O93" s="4">
        <v>353818</v>
      </c>
      <c r="Q93" s="34">
        <f>O93*$Q$15</f>
        <v>19082.897382950392</v>
      </c>
      <c r="S93" s="1">
        <f>H93*24+I93+J92/60+K93/3600</f>
        <v>948.95</v>
      </c>
      <c r="T93" s="15">
        <f>Q$15+(Q$16-Q$15)*(S93-S$15)/(S$16-S$15)</f>
        <v>5.392318455581175E-2</v>
      </c>
      <c r="U93" s="16">
        <f>O93*T93</f>
        <v>19078.993313168201</v>
      </c>
    </row>
    <row r="94" spans="1:21">
      <c r="C94" s="18">
        <v>76</v>
      </c>
      <c r="F94" s="4">
        <v>2013</v>
      </c>
      <c r="G94" s="4">
        <v>8</v>
      </c>
      <c r="H94" s="4">
        <v>39</v>
      </c>
      <c r="I94" s="4">
        <v>12</v>
      </c>
      <c r="J94" s="1">
        <v>58</v>
      </c>
      <c r="O94" s="4">
        <v>191925</v>
      </c>
      <c r="Q94" s="34">
        <f>O94*$Q$15</f>
        <v>10351.324919090475</v>
      </c>
      <c r="S94" s="1">
        <f>H94*24+I94+J93/60+K94/3600</f>
        <v>948.95</v>
      </c>
      <c r="T94" s="15">
        <f>Q$15+(Q$16-Q$15)*(S94-S$15)/(S$16-S$15)</f>
        <v>5.392318455581175E-2</v>
      </c>
      <c r="U94" s="16">
        <f>O94*T94</f>
        <v>10349.207195874171</v>
      </c>
    </row>
    <row r="95" spans="1:21">
      <c r="C95">
        <v>77</v>
      </c>
      <c r="F95" s="4">
        <v>2013</v>
      </c>
      <c r="G95" s="4">
        <v>8</v>
      </c>
      <c r="H95" s="4">
        <v>39</v>
      </c>
      <c r="I95" s="4">
        <v>12</v>
      </c>
      <c r="J95" s="1">
        <v>59</v>
      </c>
      <c r="O95" s="4">
        <v>166080</v>
      </c>
      <c r="Q95" s="34">
        <f>O95*$Q$15</f>
        <v>8957.3950374497654</v>
      </c>
      <c r="S95" s="1">
        <f>H95*24+I95+J94/60+K95/3600</f>
        <v>948.9666666666667</v>
      </c>
      <c r="T95" s="15">
        <f>Q$15+(Q$16-Q$15)*(S95-S$15)/(S$16-S$15)</f>
        <v>5.3923048332125072E-2</v>
      </c>
      <c r="U95" s="16">
        <f>O95*T95</f>
        <v>8955.5398669993319</v>
      </c>
    </row>
    <row r="96" spans="1:21">
      <c r="C96" s="18">
        <v>78</v>
      </c>
      <c r="F96" s="4">
        <v>2013</v>
      </c>
      <c r="G96" s="4">
        <v>8</v>
      </c>
      <c r="H96" s="4">
        <v>39</v>
      </c>
      <c r="I96" s="4">
        <v>13</v>
      </c>
      <c r="J96" s="1">
        <v>0</v>
      </c>
      <c r="O96" s="4">
        <v>168112</v>
      </c>
      <c r="Q96" s="34">
        <f>O96*$Q$15</f>
        <v>9066.9893697962125</v>
      </c>
      <c r="S96" s="1">
        <f>H96*24+I96+J95/60+K96/3600</f>
        <v>949.98333333333335</v>
      </c>
      <c r="T96" s="15">
        <f>Q$15+(Q$16-Q$15)*(S96-S$15)/(S$16-S$15)</f>
        <v>5.391473868723777E-2</v>
      </c>
      <c r="U96" s="16">
        <f>O96*T96</f>
        <v>9063.7145501889154</v>
      </c>
    </row>
    <row r="97" spans="3:21" ht="15.75">
      <c r="C97" s="18">
        <v>79</v>
      </c>
      <c r="F97" s="4">
        <v>2013</v>
      </c>
      <c r="G97" s="4">
        <v>8</v>
      </c>
      <c r="H97" s="4">
        <v>39</v>
      </c>
      <c r="I97" s="4">
        <v>13</v>
      </c>
      <c r="J97" s="1">
        <v>1</v>
      </c>
      <c r="O97" s="4">
        <v>174194</v>
      </c>
      <c r="Q97" s="34">
        <f>O97*$Q$15</f>
        <v>9395.0172877741115</v>
      </c>
      <c r="S97" s="1">
        <f>H97*24+I97+J96/60+K97/3600</f>
        <v>949</v>
      </c>
      <c r="T97" s="15">
        <f>Q$15+(Q$16-Q$15)*(S97-S$15)/(S$16-S$15)</f>
        <v>5.3922775884751722E-2</v>
      </c>
      <c r="U97" s="33">
        <f>O97*T97</f>
        <v>9393.0240224684421</v>
      </c>
    </row>
    <row r="98" spans="3:21">
      <c r="C98">
        <v>80</v>
      </c>
      <c r="F98" s="4">
        <v>2013</v>
      </c>
      <c r="G98" s="4">
        <v>8</v>
      </c>
      <c r="H98" s="4">
        <v>39</v>
      </c>
      <c r="I98" s="4">
        <v>13</v>
      </c>
      <c r="J98" s="1">
        <v>2</v>
      </c>
      <c r="O98" s="4">
        <v>151091</v>
      </c>
      <c r="Q98" s="34">
        <f>O98*$Q$15</f>
        <v>8148.9750337386949</v>
      </c>
      <c r="S98" s="1">
        <f>H98*24+I98+J97/60+K98/3600</f>
        <v>949.01666666666665</v>
      </c>
      <c r="T98" s="15">
        <f>Q$15+(Q$16-Q$15)*(S98-S$15)/(S$16-S$15)</f>
        <v>5.3922639661065044E-2</v>
      </c>
      <c r="U98" s="16">
        <f>O98*T98</f>
        <v>8147.2255490299785</v>
      </c>
    </row>
    <row r="99" spans="3:21">
      <c r="C99" s="18">
        <v>81</v>
      </c>
      <c r="F99" s="4">
        <v>2013</v>
      </c>
      <c r="G99" s="4">
        <v>8</v>
      </c>
      <c r="H99" s="4">
        <v>39</v>
      </c>
      <c r="I99" s="4">
        <v>13</v>
      </c>
      <c r="J99" s="1">
        <v>3</v>
      </c>
      <c r="O99" s="4">
        <v>383726</v>
      </c>
      <c r="Q99" s="34">
        <f>O99*$Q$15</f>
        <v>20695.961995065321</v>
      </c>
      <c r="S99" s="1">
        <f>H99*24+I99+J98/60+K99/3600</f>
        <v>949.0333333333333</v>
      </c>
      <c r="T99" s="15">
        <f>Q$15+(Q$16-Q$15)*(S99-S$15)/(S$16-S$15)</f>
        <v>5.3922503437378366E-2</v>
      </c>
      <c r="U99" s="16">
        <f>O99*T99</f>
        <v>20691.466554011451</v>
      </c>
    </row>
    <row r="100" spans="3:21">
      <c r="C100" s="18">
        <v>82</v>
      </c>
      <c r="F100" s="4">
        <v>2013</v>
      </c>
      <c r="G100" s="4">
        <v>8</v>
      </c>
      <c r="H100" s="4">
        <v>39</v>
      </c>
      <c r="I100" s="4">
        <v>13</v>
      </c>
      <c r="J100" s="1">
        <v>3</v>
      </c>
      <c r="O100" s="4">
        <v>390883</v>
      </c>
      <c r="Q100" s="34">
        <f>O100*$Q$15</f>
        <v>21081.969198118233</v>
      </c>
      <c r="S100" s="1">
        <f>H100*24+I100+J99/60+K100/3600</f>
        <v>949.05</v>
      </c>
      <c r="T100" s="15">
        <f>Q$15+(Q$16-Q$15)*(S100-S$15)/(S$16-S$15)</f>
        <v>5.3922367213691688E-2</v>
      </c>
      <c r="U100" s="16">
        <f>O100*T100</f>
        <v>21077.336663589449</v>
      </c>
    </row>
    <row r="101" spans="3:21">
      <c r="C101">
        <v>83</v>
      </c>
      <c r="F101" s="4">
        <v>2013</v>
      </c>
      <c r="G101" s="4">
        <v>8</v>
      </c>
      <c r="H101" s="4">
        <v>39</v>
      </c>
      <c r="I101" s="4">
        <v>13</v>
      </c>
      <c r="J101" s="1">
        <v>4</v>
      </c>
      <c r="O101" s="4">
        <v>393987</v>
      </c>
      <c r="Q101" s="34">
        <f>O101*$Q$15</f>
        <v>21249.381012883674</v>
      </c>
      <c r="S101" s="1">
        <f>H101*24+I101+J100/60+K101/3600</f>
        <v>949.05</v>
      </c>
      <c r="T101" s="15">
        <f>Q$15+(Q$16-Q$15)*(S101-S$15)/(S$16-S$15)</f>
        <v>5.3922367213691688E-2</v>
      </c>
      <c r="U101" s="16">
        <f>O101*T101</f>
        <v>21244.711691420747</v>
      </c>
    </row>
    <row r="102" spans="3:21">
      <c r="C102" s="18">
        <v>84</v>
      </c>
      <c r="F102" s="4">
        <v>2013</v>
      </c>
      <c r="G102" s="4">
        <v>8</v>
      </c>
      <c r="H102" s="4">
        <v>39</v>
      </c>
      <c r="I102" s="4">
        <v>13</v>
      </c>
      <c r="J102" s="1">
        <v>5</v>
      </c>
      <c r="O102" s="4">
        <v>805738</v>
      </c>
      <c r="Q102" s="34">
        <f>O102*$Q$15</f>
        <v>43456.849486299965</v>
      </c>
      <c r="S102" s="1">
        <f>H102*24+I102+J101/60+K102/3600</f>
        <v>949.06666666666672</v>
      </c>
      <c r="T102" s="15">
        <f>Q$15+(Q$16-Q$15)*(S102-S$15)/(S$16-S$15)</f>
        <v>5.392223099000501E-2</v>
      </c>
      <c r="U102" s="16">
        <f>O102*T102</f>
        <v>43447.190553424654</v>
      </c>
    </row>
  </sheetData>
  <conditionalFormatting sqref="N88:N65536">
    <cfRule type="cellIs" dxfId="1" priority="2" operator="greaterThan">
      <formula>300000</formula>
    </cfRule>
  </conditionalFormatting>
  <conditionalFormatting sqref="Q19:Q87">
    <cfRule type="cellIs" dxfId="0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N87"/>
  <sheetViews>
    <sheetView topLeftCell="X1" zoomScale="63" zoomScaleNormal="63" workbookViewId="0">
      <selection activeCell="AI49" sqref="AI49"/>
    </sheetView>
  </sheetViews>
  <sheetFormatPr defaultRowHeight="15"/>
  <cols>
    <col min="1" max="3" width="8.5703125"/>
    <col min="4" max="4" width="9.7109375"/>
    <col min="5" max="10" width="8.5703125"/>
    <col min="11" max="11" width="12"/>
    <col min="12" max="19" width="8.5703125"/>
    <col min="20" max="24" width="12.140625"/>
    <col min="25" max="26" width="8.5703125"/>
    <col min="27" max="27" width="8.28515625"/>
    <col min="28" max="28" width="14.140625"/>
    <col min="29" max="29" width="11.42578125"/>
    <col min="30" max="30" width="16.85546875"/>
    <col min="31" max="31" width="15.5703125"/>
    <col min="32" max="32" width="17.7109375"/>
    <col min="33" max="33" width="14.7109375"/>
    <col min="34" max="34" width="15"/>
    <col min="35" max="35" width="8.28515625"/>
    <col min="36" max="36" width="12.5703125"/>
    <col min="37" max="37" width="10.7109375"/>
    <col min="38" max="38" width="11"/>
    <col min="39" max="39" width="11.7109375"/>
    <col min="40" max="41" width="11.42578125"/>
    <col min="42" max="42" width="12.5703125"/>
    <col min="43" max="49" width="8.28515625"/>
    <col min="50" max="52" width="8.5703125"/>
    <col min="53" max="53" width="15.5703125"/>
    <col min="54" max="57" width="8.5703125"/>
    <col min="58" max="58" width="15.5703125" style="48"/>
    <col min="59" max="62" width="8.5703125"/>
    <col min="63" max="63" width="9.140625" style="48"/>
    <col min="64" max="67" width="8.5703125"/>
    <col min="68" max="68" width="9.140625" style="48"/>
    <col min="69" max="72" width="8.5703125"/>
    <col min="73" max="73" width="9.140625" style="48"/>
    <col min="74" max="77" width="8.5703125"/>
    <col min="78" max="78" width="9.140625" style="48"/>
    <col min="79" max="1025" width="8.5703125"/>
  </cols>
  <sheetData>
    <row r="1" spans="1:92">
      <c r="A1" t="s">
        <v>97</v>
      </c>
      <c r="O1" s="49" t="s">
        <v>98</v>
      </c>
      <c r="W1" s="49" t="s">
        <v>99</v>
      </c>
      <c r="AE1" s="49" t="s">
        <v>100</v>
      </c>
      <c r="AM1" s="49" t="s">
        <v>101</v>
      </c>
      <c r="AZ1" t="s">
        <v>102</v>
      </c>
      <c r="BB1" t="s">
        <v>103</v>
      </c>
      <c r="BC1" t="s">
        <v>104</v>
      </c>
      <c r="BD1" t="s">
        <v>105</v>
      </c>
      <c r="BE1" t="s">
        <v>106</v>
      </c>
      <c r="BF1"/>
      <c r="BG1" t="s">
        <v>103</v>
      </c>
      <c r="BH1" t="s">
        <v>104</v>
      </c>
      <c r="BI1" t="s">
        <v>105</v>
      </c>
      <c r="BJ1" t="s">
        <v>106</v>
      </c>
      <c r="BK1"/>
      <c r="BL1" t="s">
        <v>103</v>
      </c>
      <c r="BM1" t="s">
        <v>104</v>
      </c>
      <c r="BN1" t="s">
        <v>105</v>
      </c>
      <c r="BO1" t="s">
        <v>106</v>
      </c>
      <c r="BP1"/>
      <c r="BQ1" t="s">
        <v>103</v>
      </c>
      <c r="BR1" t="s">
        <v>104</v>
      </c>
      <c r="BS1" t="s">
        <v>105</v>
      </c>
      <c r="BT1" t="s">
        <v>106</v>
      </c>
      <c r="BU1"/>
      <c r="BV1" t="s">
        <v>103</v>
      </c>
      <c r="BW1" t="s">
        <v>104</v>
      </c>
      <c r="BX1" t="s">
        <v>105</v>
      </c>
      <c r="BY1" t="s">
        <v>106</v>
      </c>
      <c r="BZ1"/>
      <c r="CA1" t="s">
        <v>103</v>
      </c>
      <c r="CB1" t="s">
        <v>104</v>
      </c>
      <c r="CC1" t="s">
        <v>105</v>
      </c>
      <c r="CD1" t="s">
        <v>106</v>
      </c>
    </row>
    <row r="2" spans="1:92">
      <c r="I2" t="s">
        <v>107</v>
      </c>
      <c r="M2">
        <v>4</v>
      </c>
      <c r="N2">
        <v>9</v>
      </c>
      <c r="O2">
        <v>12</v>
      </c>
      <c r="P2">
        <v>16</v>
      </c>
      <c r="Q2">
        <v>19</v>
      </c>
      <c r="R2">
        <v>24</v>
      </c>
      <c r="U2">
        <v>4</v>
      </c>
      <c r="V2">
        <v>9</v>
      </c>
      <c r="W2">
        <v>12</v>
      </c>
      <c r="X2">
        <v>16</v>
      </c>
      <c r="Y2">
        <v>19</v>
      </c>
      <c r="Z2">
        <v>24</v>
      </c>
      <c r="AC2">
        <v>4</v>
      </c>
      <c r="AD2">
        <v>9</v>
      </c>
      <c r="AE2">
        <v>12</v>
      </c>
      <c r="AF2">
        <v>16</v>
      </c>
      <c r="AG2">
        <v>19</v>
      </c>
      <c r="AH2">
        <v>24</v>
      </c>
      <c r="AK2">
        <v>4</v>
      </c>
      <c r="AL2">
        <v>9</v>
      </c>
      <c r="AM2">
        <v>12</v>
      </c>
      <c r="AN2">
        <v>16</v>
      </c>
      <c r="AO2">
        <v>19</v>
      </c>
      <c r="AP2">
        <v>24</v>
      </c>
      <c r="BB2" t="s">
        <v>108</v>
      </c>
      <c r="BF2"/>
      <c r="BG2" t="s">
        <v>108</v>
      </c>
      <c r="BK2"/>
      <c r="BP2"/>
      <c r="BQ2" t="s">
        <v>108</v>
      </c>
      <c r="BU2"/>
      <c r="BZ2"/>
      <c r="CI2" t="s">
        <v>98</v>
      </c>
    </row>
    <row r="3" spans="1:92">
      <c r="A3" t="s">
        <v>109</v>
      </c>
      <c r="B3" s="50" t="s">
        <v>110</v>
      </c>
      <c r="C3" s="51" t="s">
        <v>111</v>
      </c>
      <c r="D3" s="52" t="s">
        <v>112</v>
      </c>
      <c r="F3" t="s">
        <v>113</v>
      </c>
      <c r="G3" s="39" t="s">
        <v>114</v>
      </c>
      <c r="H3" t="s">
        <v>115</v>
      </c>
      <c r="I3" t="s">
        <v>115</v>
      </c>
      <c r="J3" t="s">
        <v>116</v>
      </c>
      <c r="K3" s="39" t="s">
        <v>117</v>
      </c>
      <c r="M3" s="53" t="s">
        <v>118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U3" s="53" t="s">
        <v>118</v>
      </c>
      <c r="V3" t="s">
        <v>119</v>
      </c>
      <c r="W3" t="s">
        <v>120</v>
      </c>
      <c r="X3" t="s">
        <v>121</v>
      </c>
      <c r="Y3" t="s">
        <v>122</v>
      </c>
      <c r="Z3" t="s">
        <v>123</v>
      </c>
      <c r="AC3" s="53" t="s">
        <v>118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K3" s="53" t="s">
        <v>118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Z3" t="s">
        <v>109</v>
      </c>
      <c r="BA3" t="s">
        <v>124</v>
      </c>
      <c r="BF3" s="48" t="s">
        <v>125</v>
      </c>
      <c r="BK3" s="48" t="s">
        <v>126</v>
      </c>
      <c r="BP3" s="48" t="s">
        <v>127</v>
      </c>
      <c r="BU3" s="48" t="s">
        <v>128</v>
      </c>
      <c r="BZ3" s="48" t="s">
        <v>129</v>
      </c>
      <c r="CI3" s="53" t="s">
        <v>118</v>
      </c>
      <c r="CJ3" t="s">
        <v>119</v>
      </c>
      <c r="CK3" t="s">
        <v>120</v>
      </c>
      <c r="CL3" t="s">
        <v>121</v>
      </c>
      <c r="CM3" t="s">
        <v>122</v>
      </c>
      <c r="CN3" t="s">
        <v>123</v>
      </c>
    </row>
    <row r="4" spans="1:92">
      <c r="A4">
        <v>1</v>
      </c>
      <c r="B4">
        <v>1128.7617997212801</v>
      </c>
      <c r="C4">
        <v>1219.5723581728</v>
      </c>
      <c r="D4">
        <v>9237.0141171105497</v>
      </c>
      <c r="F4">
        <v>1297.39736815844</v>
      </c>
      <c r="G4">
        <v>4632.2461925801899</v>
      </c>
      <c r="H4">
        <v>4100.0091442681296</v>
      </c>
      <c r="I4">
        <v>1248.7946161540201</v>
      </c>
      <c r="J4">
        <v>4212.8458448696001</v>
      </c>
      <c r="K4">
        <v>4870.6014484818697</v>
      </c>
      <c r="M4">
        <f>C4-B4</f>
        <v>90.81055845151991</v>
      </c>
      <c r="N4">
        <f>D4-B4</f>
        <v>8108.2523173892696</v>
      </c>
      <c r="O4">
        <f>(G4-F4)+N4</f>
        <v>11443.101141811019</v>
      </c>
      <c r="P4">
        <f>(H4-F4)+N4</f>
        <v>10910.86409349896</v>
      </c>
      <c r="Q4">
        <f>(J4-I4)+P4</f>
        <v>13874.91532221454</v>
      </c>
      <c r="R4">
        <f>(K4-J4)+Q4</f>
        <v>14532.670925826809</v>
      </c>
      <c r="U4">
        <v>1.42783896936351E-2</v>
      </c>
      <c r="V4">
        <v>1.9405160629401799E-2</v>
      </c>
      <c r="W4">
        <v>2.0137975992884999E-2</v>
      </c>
      <c r="X4">
        <v>5.39067469919155E-3</v>
      </c>
      <c r="Y4">
        <v>1.1790179907381E-2</v>
      </c>
      <c r="Z4">
        <v>5.3150873651020602E-3</v>
      </c>
      <c r="AC4" s="54">
        <f>1.013*10^5*50*10^(-6)*(M4*10^(-6))/(8.3145*(273.15+15))/3*12.011*10^6</f>
        <v>0.76863285941341153</v>
      </c>
      <c r="AD4" s="54">
        <f>1.013*10^5*50*10^(-6)*(N4*10^(-6))/(8.3145*(273.15+15))/3*12.011*10^6</f>
        <v>68.62934519764562</v>
      </c>
      <c r="AE4" s="54">
        <f>1.013*10^5*50*10^(-6)*(O4*10^(-6))/(8.3145*(273.15+15))/3*12.011*10^6</f>
        <v>96.855957073346957</v>
      </c>
      <c r="AF4" s="54">
        <f>1.013*10^5*50*10^(-6)*(P4*10^(-6))/(8.3145*(273.15+15))/3*12.011*10^6</f>
        <v>92.351030649529733</v>
      </c>
      <c r="AG4" s="54">
        <f>1.013*10^5*50*10^(-6)*(Q4*10^(-6))/(8.3145*(273.15+15))/3*12.011*10^6</f>
        <v>117.43916148171448</v>
      </c>
      <c r="AH4" s="54">
        <f>1.013*10^5*50*10^(-6)*(R4*10^(-6))/(8.3145*(273.15+15))/3*12.011*10^6</f>
        <v>123.0064939485619</v>
      </c>
      <c r="AK4" s="54">
        <f>1.013*10^5*50*10^(-6)*(U4*10^(-6))/(8.3145*(273.15+15))/3*12.011*10^6</f>
        <v>1.2085422317820845E-4</v>
      </c>
      <c r="AL4" s="54">
        <f>1.013*10^5*50*10^(-6)*(V4*10^(-6))/(8.3145*(273.15+15))/3*12.011*10^6</f>
        <v>1.642479063700111E-4</v>
      </c>
      <c r="AM4" s="54">
        <f>1.013*10^5*50*10^(-6)*(W4*10^(-6))/(8.3145*(273.15+15))/3*12.011*10^6</f>
        <v>1.7045055480496016E-4</v>
      </c>
      <c r="AN4" s="54">
        <f>1.013*10^5*50*10^(-6)*(X4*10^(-6))/(8.3145*(273.15+15))/3*12.011*10^6</f>
        <v>4.5627400369078828E-5</v>
      </c>
      <c r="AO4" s="54">
        <f>1.013*10^5*50*10^(-6)*(Y4*10^(-6))/(8.3145*(273.15+15))/3*12.011*10^6</f>
        <v>9.9793678727863068E-5</v>
      </c>
      <c r="AP4" s="54">
        <f>1.013*10^5*50*10^(-6)*(Z4*10^(-6))/(8.3145*(273.15+15))/3*12.011*10^6</f>
        <v>4.4987618941375584E-5</v>
      </c>
      <c r="AZ4">
        <v>1</v>
      </c>
      <c r="BA4">
        <f>C4-B4</f>
        <v>90.81055845151991</v>
      </c>
      <c r="BB4">
        <f>('7-24-13 Final'!S19-'7-24-13 Initial'!S19)*60</f>
        <v>105.99999999999909</v>
      </c>
      <c r="BC4">
        <f>BD4/60</f>
        <v>1.4278389693635327E-2</v>
      </c>
      <c r="BD4">
        <f>BA4/BB4</f>
        <v>0.85670338161811965</v>
      </c>
      <c r="BE4">
        <f>BD4/3</f>
        <v>0.28556779387270653</v>
      </c>
      <c r="BF4" s="48">
        <f>D4-B4</f>
        <v>8108.2523173892696</v>
      </c>
      <c r="BG4">
        <f>('7-29-13 Final #2'!S19-'7-24-13 Initial'!S19)*60</f>
        <v>6964.0000000000036</v>
      </c>
      <c r="BH4">
        <f>BI4/60</f>
        <v>1.9405160629401841E-2</v>
      </c>
      <c r="BI4">
        <f>BF4/BG4</f>
        <v>1.1643096377641104</v>
      </c>
      <c r="BJ4">
        <f>BI4/3</f>
        <v>0.38810321258803682</v>
      </c>
      <c r="BK4" s="48">
        <f>G4-F4</f>
        <v>3334.8488244217497</v>
      </c>
      <c r="BL4">
        <f>60*('8-1-13 Final #1'!S19-'7-30-13 Initial + cap'!S19)</f>
        <v>2760</v>
      </c>
      <c r="BM4">
        <f>BN4/60</f>
        <v>2.0137975992884961E-2</v>
      </c>
      <c r="BN4">
        <f>BK4/BL4</f>
        <v>1.2082785595730976</v>
      </c>
      <c r="BO4">
        <f>BN4/3</f>
        <v>0.4027595198576992</v>
      </c>
      <c r="BP4" s="48">
        <f>H4-F4</f>
        <v>2802.6117761096893</v>
      </c>
      <c r="BQ4">
        <f>('8-5-13 final 1'!S19-'7-30-13 Initial + cap'!S19)*60</f>
        <v>8665.0000000000036</v>
      </c>
      <c r="BR4">
        <f>BS4/60</f>
        <v>5.3906746991915526E-3</v>
      </c>
      <c r="BS4">
        <f>BP4/BQ4</f>
        <v>0.32344048195149316</v>
      </c>
      <c r="BT4">
        <f>BS4/3</f>
        <v>0.10781349398383105</v>
      </c>
      <c r="BU4" s="48">
        <f>'8-8-13 Final'!U19-'8-5-13 initial'!U19</f>
        <v>2964.051228715578</v>
      </c>
      <c r="BV4">
        <f>('8-8-13 Final'!S19-'8-5-13 initial'!S19)*60</f>
        <v>4190.0000000000018</v>
      </c>
      <c r="BW4">
        <f>BX4/60</f>
        <v>1.1790179907380972E-2</v>
      </c>
      <c r="BX4">
        <f>BU4/BV4</f>
        <v>0.70741079444285837</v>
      </c>
      <c r="BY4">
        <f>BX4/3</f>
        <v>0.23580359814761945</v>
      </c>
      <c r="BZ4" s="48">
        <v>3621.8068323278499</v>
      </c>
      <c r="CA4">
        <v>11357</v>
      </c>
      <c r="CB4">
        <f>CC4/60</f>
        <v>5.3150873651020671E-3</v>
      </c>
      <c r="CC4">
        <v>0.31890524190612402</v>
      </c>
      <c r="CD4">
        <v>0.10630174730204101</v>
      </c>
    </row>
    <row r="5" spans="1:92">
      <c r="A5">
        <v>2</v>
      </c>
      <c r="B5">
        <v>1365.61148301667</v>
      </c>
      <c r="C5">
        <v>1486.36527557719</v>
      </c>
      <c r="D5">
        <v>9379.4042339491007</v>
      </c>
      <c r="F5">
        <v>748.54452396717704</v>
      </c>
      <c r="G5">
        <v>2692.4177144072801</v>
      </c>
      <c r="H5">
        <v>4290.6324769647199</v>
      </c>
      <c r="I5">
        <v>809.41790780772305</v>
      </c>
      <c r="J5">
        <v>3318.2980690733102</v>
      </c>
      <c r="K5">
        <v>4152.1343667073097</v>
      </c>
      <c r="M5">
        <f>C5-B5</f>
        <v>120.75379256051997</v>
      </c>
      <c r="N5">
        <f>D5-B5</f>
        <v>8013.7927509324309</v>
      </c>
      <c r="O5">
        <f>(G5-F5)+N5</f>
        <v>9957.6659413725338</v>
      </c>
      <c r="P5">
        <f>(H5-F5)+N5</f>
        <v>11555.880703929974</v>
      </c>
      <c r="Q5">
        <f>(J5-I5)+P5</f>
        <v>14064.76086519556</v>
      </c>
      <c r="R5">
        <f>(K5-J5)+Q5</f>
        <v>14898.597162829559</v>
      </c>
      <c r="U5">
        <v>1.8986445371151E-2</v>
      </c>
      <c r="V5">
        <v>1.91790942727657E-2</v>
      </c>
      <c r="W5">
        <v>1.17383646765707E-2</v>
      </c>
      <c r="X5">
        <v>6.8114456232405297E-3</v>
      </c>
      <c r="Y5">
        <v>9.9844005144284799E-3</v>
      </c>
      <c r="Z5">
        <v>4.9063796549237999E-3</v>
      </c>
      <c r="AC5" s="54">
        <f>1.013*10^5*50*10^(-6)*(M5*10^(-6))/(8.3145*(273.15+15))/3*12.011*10^6</f>
        <v>1.0220764462136498</v>
      </c>
      <c r="AD5" s="54">
        <f>1.013*10^5*50*10^(-6)*(N5*10^(-6))/(8.3145*(273.15+15))/3*12.011*10^6</f>
        <v>67.829826640522867</v>
      </c>
      <c r="AE5" s="54">
        <f>1.013*10^5*50*10^(-6)*(O5*10^(-6))/(8.3145*(273.15+15))/3*12.011*10^6</f>
        <v>84.283032459124868</v>
      </c>
      <c r="AF5" s="54">
        <f>1.013*10^5*50*10^(-6)*(P5*10^(-6))/(8.3145*(273.15+15))/3*12.011*10^6</f>
        <v>97.810538553661985</v>
      </c>
      <c r="AG5" s="54">
        <f>1.013*10^5*50*10^(-6)*(Q5*10^(-6))/(8.3145*(273.15+15))/3*12.011*10^6</f>
        <v>119.04603985617457</v>
      </c>
      <c r="AH5" s="54">
        <f>1.013*10^5*50*10^(-6)*(R5*10^(-6))/(8.3145*(273.15+15))/3*12.011*10^6</f>
        <v>126.10374315259547</v>
      </c>
      <c r="AK5" s="54">
        <f>1.013*10^5*50*10^(-6)*(U5*10^(-6))/(8.3145*(273.15+15))/3*12.011*10^6</f>
        <v>1.607038437442851E-4</v>
      </c>
      <c r="AL5" s="54">
        <f>1.013*10^5*50*10^(-6)*(V5*10^(-6))/(8.3145*(273.15+15))/3*12.011*10^6</f>
        <v>1.6233445012570069E-4</v>
      </c>
      <c r="AM5" s="54">
        <f>1.013*10^5*50*10^(-6)*(W5*10^(-6))/(8.3145*(273.15+15))/3*12.011*10^6</f>
        <v>9.9355107600254065E-5</v>
      </c>
      <c r="AN5" s="54">
        <f>1.013*10^5*50*10^(-6)*(X5*10^(-6))/(8.3145*(273.15+15))/3*12.011*10^6</f>
        <v>5.7652997794583072E-5</v>
      </c>
      <c r="AO5" s="54">
        <f>1.013*10^5*50*10^(-6)*(Y5*10^(-6))/(8.3145*(273.15+15))/3*12.011*10^6</f>
        <v>8.4509317504427833E-5</v>
      </c>
      <c r="AP5" s="54">
        <f>1.013*10^5*50*10^(-6)*(Z5*10^(-6))/(8.3145*(273.15+15))/3*12.011*10^6</f>
        <v>4.1528261557219262E-5</v>
      </c>
      <c r="AZ5">
        <v>2</v>
      </c>
      <c r="BA5">
        <f>C5-B5</f>
        <v>120.75379256051997</v>
      </c>
      <c r="BB5">
        <f>('7-24-13 Final'!S20-'7-24-13 Initial'!S20)*60</f>
        <v>106.00000000000591</v>
      </c>
      <c r="BC5">
        <f>BD5/60</f>
        <v>1.8986445371149883E-2</v>
      </c>
      <c r="BD5">
        <f>BA5/BB5</f>
        <v>1.1391867222689929</v>
      </c>
      <c r="BE5">
        <f>BD5/3</f>
        <v>0.37972890742299764</v>
      </c>
      <c r="BF5" s="48">
        <f>D5-B5</f>
        <v>8013.7927509324309</v>
      </c>
      <c r="BG5">
        <f>('7-29-13 Final #2'!S20-'7-24-13 Initial'!S20)*60</f>
        <v>6964.0000000000036</v>
      </c>
      <c r="BH5">
        <f>BI5/60</f>
        <v>1.9179094272765713E-2</v>
      </c>
      <c r="BI5">
        <f>BF5/BG5</f>
        <v>1.1507456563659428</v>
      </c>
      <c r="BJ5">
        <f>BI5/3</f>
        <v>0.3835818854553143</v>
      </c>
      <c r="BK5" s="48">
        <f>G5-F5</f>
        <v>1943.8731904401029</v>
      </c>
      <c r="BL5">
        <f>60*('8-1-13 Final #1'!S20-'7-30-13 Initial + cap'!S20)</f>
        <v>2760</v>
      </c>
      <c r="BM5">
        <f>BN5/60</f>
        <v>1.1738364676570669E-2</v>
      </c>
      <c r="BN5">
        <f>BK5/BL5</f>
        <v>0.70430188059424015</v>
      </c>
      <c r="BO5">
        <f>BN5/3</f>
        <v>0.23476729353141337</v>
      </c>
      <c r="BP5" s="48">
        <f>H5-F5</f>
        <v>3542.0879529975427</v>
      </c>
      <c r="BQ5">
        <f>('8-5-13 final 1'!S20-'7-30-13 Initial + cap'!S20)*60</f>
        <v>8667.0000000000036</v>
      </c>
      <c r="BR5">
        <f>BS5/60</f>
        <v>6.8114456232405314E-3</v>
      </c>
      <c r="BS5">
        <f>BP5/BQ5</f>
        <v>0.4086867373944319</v>
      </c>
      <c r="BT5">
        <f>BS5/3</f>
        <v>0.13622891246481064</v>
      </c>
      <c r="BU5" s="48">
        <f>'8-8-13 Final'!U20-'8-5-13 initial'!U20</f>
        <v>2508.8801612655907</v>
      </c>
      <c r="BV5">
        <f>('8-8-13 Final'!S20-'8-5-13 initial'!S20)*60</f>
        <v>4188.0000000000036</v>
      </c>
      <c r="BW5">
        <f>BX5/60</f>
        <v>9.9844005144284799E-3</v>
      </c>
      <c r="BX5">
        <f>BU5/BV5</f>
        <v>0.59906403086570881</v>
      </c>
      <c r="BY5">
        <f>BX5/3</f>
        <v>0.19968801028856961</v>
      </c>
      <c r="BZ5" s="48">
        <v>3342.7164588995802</v>
      </c>
      <c r="CA5">
        <v>11355</v>
      </c>
      <c r="CB5">
        <f>CC5/60</f>
        <v>4.9063796549237999E-3</v>
      </c>
      <c r="CC5">
        <v>0.294382779295428</v>
      </c>
      <c r="CD5">
        <v>9.8127593098475893E-2</v>
      </c>
    </row>
    <row r="6" spans="1:92">
      <c r="A6">
        <v>3</v>
      </c>
      <c r="B6">
        <v>1086.63614327292</v>
      </c>
      <c r="C6">
        <v>1277.6379097121701</v>
      </c>
      <c r="D6">
        <v>7994.8053070770202</v>
      </c>
      <c r="F6">
        <v>1347.8502373916699</v>
      </c>
      <c r="G6">
        <v>3700.0941546837298</v>
      </c>
      <c r="H6">
        <v>5193.8613599626997</v>
      </c>
      <c r="I6">
        <v>1217.12721475277</v>
      </c>
      <c r="J6">
        <v>3580.2968278978001</v>
      </c>
      <c r="K6">
        <v>4715.03510636588</v>
      </c>
      <c r="M6">
        <f>C6-B6</f>
        <v>191.0017664392501</v>
      </c>
      <c r="N6">
        <f>D6-B6</f>
        <v>6908.1691638041002</v>
      </c>
      <c r="O6">
        <f>(G6-F6)+N6</f>
        <v>9260.4130810961597</v>
      </c>
      <c r="P6">
        <f>(H6-F6)+N6</f>
        <v>10754.180286375129</v>
      </c>
      <c r="Q6">
        <f>(J6-I6)+P6</f>
        <v>13117.349899520159</v>
      </c>
      <c r="R6">
        <f>(K6-J6)+Q6</f>
        <v>14252.088177988238</v>
      </c>
      <c r="U6">
        <v>3.0031724282901899E-2</v>
      </c>
      <c r="V6">
        <v>1.6533048927350399E-2</v>
      </c>
      <c r="W6">
        <v>1.42043714812322E-2</v>
      </c>
      <c r="X6">
        <v>7.3941844937344403E-3</v>
      </c>
      <c r="Y6">
        <v>9.4090205970100201E-3</v>
      </c>
      <c r="Z6">
        <v>5.1341668745238603E-3</v>
      </c>
      <c r="AC6" s="54">
        <f>1.013*10^5*50*10^(-6)*(M6*10^(-6))/(8.3145*(273.15+15))/3*12.011*10^6</f>
        <v>1.6166648063241396</v>
      </c>
      <c r="AD6" s="54">
        <f>1.013*10^5*50*10^(-6)*(N6*10^(-6))/(8.3145*(273.15+15))/3*12.011*10^6</f>
        <v>58.471678935010779</v>
      </c>
      <c r="AE6" s="54">
        <f>1.013*10^5*50*10^(-6)*(O6*10^(-6))/(8.3145*(273.15+15))/3*12.011*10^6</f>
        <v>78.381389865279132</v>
      </c>
      <c r="AF6" s="54">
        <f>1.013*10^5*50*10^(-6)*(P6*10^(-6))/(8.3145*(273.15+15))/3*12.011*10^6</f>
        <v>91.024837696342857</v>
      </c>
      <c r="AG6" s="54">
        <f>1.013*10^5*50*10^(-6)*(Q6*10^(-6))/(8.3145*(273.15+15))/3*12.011*10^6</f>
        <v>111.02702519528063</v>
      </c>
      <c r="AH6" s="54">
        <f>1.013*10^5*50*10^(-6)*(R6*10^(-6))/(8.3145*(273.15+15))/3*12.011*10^6</f>
        <v>120.63160358943735</v>
      </c>
      <c r="AK6" s="54">
        <f>1.013*10^5*50*10^(-6)*(U6*10^(-6))/(8.3145*(273.15+15))/3*12.011*10^6</f>
        <v>2.541925796107217E-4</v>
      </c>
      <c r="AL6" s="54">
        <f>1.013*10^5*50*10^(-6)*(V6*10^(-6))/(8.3145*(273.15+15))/3*12.011*10^6</f>
        <v>1.3993796413701586E-4</v>
      </c>
      <c r="AM6" s="54">
        <f>1.013*10^5*50*10^(-6)*(W6*10^(-6))/(8.3145*(273.15+15))/3*12.011*10^6</f>
        <v>1.2022772300886656E-4</v>
      </c>
      <c r="AN6" s="54">
        <f>1.013*10^5*50*10^(-6)*(X6*10^(-6))/(8.3145*(273.15+15))/3*12.011*10^6</f>
        <v>6.2585378477586997E-5</v>
      </c>
      <c r="AO6" s="54">
        <f>1.013*10^5*50*10^(-6)*(Y6*10^(-6))/(8.3145*(273.15+15))/3*12.011*10^6</f>
        <v>7.9639223996407998E-5</v>
      </c>
      <c r="AP6" s="54">
        <f>1.013*10^5*50*10^(-6)*(Z6*10^(-6))/(8.3145*(273.15+15))/3*12.011*10^6</f>
        <v>4.3456283418603323E-5</v>
      </c>
      <c r="AZ6">
        <v>3</v>
      </c>
      <c r="BA6">
        <f>C6-B6</f>
        <v>191.0017664392501</v>
      </c>
      <c r="BB6">
        <f>('7-24-13 Final'!S21-'7-24-13 Initial'!S21)*60</f>
        <v>105.99999999999909</v>
      </c>
      <c r="BC6">
        <f>BD6/60</f>
        <v>3.0031724282901219E-2</v>
      </c>
      <c r="BD6">
        <f>BA6/BB6</f>
        <v>1.8019034569740731</v>
      </c>
      <c r="BE6">
        <f>BD6/3</f>
        <v>0.60063448565802435</v>
      </c>
      <c r="BF6" s="48">
        <f>D6-B6</f>
        <v>6908.1691638041002</v>
      </c>
      <c r="BG6">
        <f>('7-29-13 Final #2'!S21-'7-24-13 Initial'!S21)*60</f>
        <v>6963.9999999999964</v>
      </c>
      <c r="BH6">
        <f>BI6/60</f>
        <v>1.6533048927350431E-2</v>
      </c>
      <c r="BI6">
        <f>BF6/BG6</f>
        <v>0.9919829356410258</v>
      </c>
      <c r="BJ6">
        <f>BI6/3</f>
        <v>0.3306609785470086</v>
      </c>
      <c r="BK6" s="48">
        <f>G6-F6</f>
        <v>2352.2439172920599</v>
      </c>
      <c r="BL6">
        <f>60*('8-1-13 Final #1'!S21-'7-30-13 Initial + cap'!S21)</f>
        <v>2760</v>
      </c>
      <c r="BM6">
        <f>BN6/60</f>
        <v>1.4204371481232245E-2</v>
      </c>
      <c r="BN6">
        <f>BK6/BL6</f>
        <v>0.85226228887393474</v>
      </c>
      <c r="BO6">
        <f>BN6/3</f>
        <v>0.28408742962464489</v>
      </c>
      <c r="BP6" s="48">
        <f>H6-F6</f>
        <v>3846.0111225710298</v>
      </c>
      <c r="BQ6">
        <f>('8-5-13 final 1'!S21-'7-30-13 Initial + cap'!S21)*60</f>
        <v>8668.9999999999945</v>
      </c>
      <c r="BR6">
        <f>BS6/60</f>
        <v>7.3941844937344412E-3</v>
      </c>
      <c r="BS6">
        <f>BP6/BQ6</f>
        <v>0.44365106962406647</v>
      </c>
      <c r="BT6">
        <f>BS6/3</f>
        <v>0.14788368987468883</v>
      </c>
      <c r="BU6" s="48">
        <f>'8-8-13 Final'!U21-'8-5-13 initial'!U21</f>
        <v>2363.1696131450358</v>
      </c>
      <c r="BV6">
        <f>('8-8-13 Final'!S21-'8-5-13 initial'!S21)*60</f>
        <v>4185.9999999999991</v>
      </c>
      <c r="BW6">
        <f>BX6/60</f>
        <v>9.4090205970100184E-3</v>
      </c>
      <c r="BX6">
        <f>BU6/BV6</f>
        <v>0.56454123582060112</v>
      </c>
      <c r="BY6">
        <f>BX6/3</f>
        <v>0.18818041194020038</v>
      </c>
      <c r="BZ6" s="48">
        <v>3497.9078916131102</v>
      </c>
      <c r="CA6">
        <v>11355</v>
      </c>
      <c r="CB6">
        <f>CC6/60</f>
        <v>5.1341668745238664E-3</v>
      </c>
      <c r="CC6">
        <v>0.30805001247143199</v>
      </c>
      <c r="CD6">
        <v>0.10268333749047701</v>
      </c>
    </row>
    <row r="7" spans="1:92">
      <c r="A7">
        <v>4</v>
      </c>
      <c r="B7">
        <v>1150.70999099293</v>
      </c>
      <c r="C7">
        <v>1303.7567285191899</v>
      </c>
      <c r="D7">
        <v>8514.8462429406209</v>
      </c>
      <c r="F7">
        <v>814.13554863573199</v>
      </c>
      <c r="G7">
        <v>2868.8697115731602</v>
      </c>
      <c r="H7">
        <v>2928.05231334776</v>
      </c>
      <c r="I7">
        <v>1540.3181843540401</v>
      </c>
      <c r="J7">
        <v>3532.53924128887</v>
      </c>
      <c r="K7">
        <v>4108.2696288314701</v>
      </c>
      <c r="M7">
        <f>C7-B7</f>
        <v>153.0467375262599</v>
      </c>
      <c r="N7">
        <f>D7-B7</f>
        <v>7364.1362519476907</v>
      </c>
      <c r="O7">
        <f>(G7-F7)+N7</f>
        <v>9418.8704148851193</v>
      </c>
      <c r="P7">
        <f>(H7-F7)+N7</f>
        <v>9478.0530166597182</v>
      </c>
      <c r="Q7">
        <f>(J7-I7)+P7</f>
        <v>11470.274073594548</v>
      </c>
      <c r="R7">
        <f>(K7-J7)+Q7</f>
        <v>12046.004461137149</v>
      </c>
      <c r="U7">
        <v>2.60283567221536E-2</v>
      </c>
      <c r="V7">
        <v>1.7644566446108099E-2</v>
      </c>
      <c r="W7">
        <v>1.24078149935835E-2</v>
      </c>
      <c r="X7">
        <v>4.0641303585804396E-3</v>
      </c>
      <c r="Y7">
        <v>7.9282913758947308E-3</v>
      </c>
      <c r="Z7">
        <v>3.7698573717335E-3</v>
      </c>
      <c r="AC7" s="54">
        <f>1.013*10^5*50*10^(-6)*(M7*10^(-6))/(8.3145*(273.15+15))/3*12.011*10^6</f>
        <v>1.2954083037767521</v>
      </c>
      <c r="AD7" s="54">
        <f>1.013*10^5*50*10^(-6)*(N7*10^(-6))/(8.3145*(273.15+15))/3*12.011*10^6</f>
        <v>62.331046091587808</v>
      </c>
      <c r="AE7" s="54">
        <f>1.013*10^5*50*10^(-6)*(O7*10^(-6))/(8.3145*(273.15+15))/3*12.011*10^6</f>
        <v>79.722594188235206</v>
      </c>
      <c r="AF7" s="54">
        <f>1.013*10^5*50*10^(-6)*(P7*10^(-6))/(8.3145*(273.15+15))/3*12.011*10^6</f>
        <v>80.223523740979005</v>
      </c>
      <c r="AG7" s="54">
        <f>1.013*10^5*50*10^(-6)*(Q7*10^(-6))/(8.3145*(273.15+15))/3*12.011*10^6</f>
        <v>97.085952446259114</v>
      </c>
      <c r="AH7" s="54">
        <f>1.013*10^5*50*10^(-6)*(R7*10^(-6))/(8.3145*(273.15+15))/3*12.011*10^6</f>
        <v>101.9590123808515</v>
      </c>
      <c r="AK7" s="54">
        <f>1.013*10^5*50*10^(-6)*(U7*10^(-6))/(8.3145*(273.15+15))/3*12.011*10^6</f>
        <v>2.2030753465591499E-4</v>
      </c>
      <c r="AL7" s="54">
        <f>1.013*10^5*50*10^(-6)*(V7*10^(-6))/(8.3145*(273.15+15))/3*12.011*10^6</f>
        <v>1.4934599887767797E-4</v>
      </c>
      <c r="AM7" s="54">
        <f>1.013*10^5*50*10^(-6)*(W7*10^(-6))/(8.3145*(273.15+15))/3*12.011*10^6</f>
        <v>1.0502142570439243E-4</v>
      </c>
      <c r="AN7" s="54">
        <f>1.013*10^5*50*10^(-6)*(X7*10^(-6))/(8.3145*(273.15+15))/3*12.011*10^6</f>
        <v>3.4399349500886742E-5</v>
      </c>
      <c r="AO7" s="54">
        <f>1.013*10^5*50*10^(-6)*(Y7*10^(-6))/(8.3145*(273.15+15))/3*12.011*10^6</f>
        <v>6.7106131428207975E-5</v>
      </c>
      <c r="AP7" s="54">
        <f>1.013*10^5*50*10^(-6)*(Z7*10^(-6))/(8.3145*(273.15+15))/3*12.011*10^6</f>
        <v>3.1908583105599769E-5</v>
      </c>
      <c r="AZ7">
        <v>4</v>
      </c>
      <c r="BA7">
        <f>C7-B7</f>
        <v>153.0467375262599</v>
      </c>
      <c r="BB7">
        <f>('7-24-13 Final'!S22-'7-24-13 Initial'!S22)*60</f>
        <v>97.999999999999545</v>
      </c>
      <c r="BC7">
        <f>BD7/60</f>
        <v>2.6028356722153163E-2</v>
      </c>
      <c r="BD7">
        <f>BA7/BB7</f>
        <v>1.5617014033291898</v>
      </c>
      <c r="BE7">
        <f>BD7/3</f>
        <v>0.52056713444306324</v>
      </c>
      <c r="BF7" s="48">
        <f>D7-B7</f>
        <v>7364.1362519476907</v>
      </c>
      <c r="BG7">
        <f>('7-29-13 Final #2'!S22-'7-24-13 Initial'!S22)*60</f>
        <v>6955.9999999999964</v>
      </c>
      <c r="BH7">
        <f>BI7/60</f>
        <v>1.764456644610814E-2</v>
      </c>
      <c r="BI7">
        <f>BF7/BG7</f>
        <v>1.0586739867664885</v>
      </c>
      <c r="BJ7">
        <f>BI7/3</f>
        <v>0.35289132892216285</v>
      </c>
      <c r="BK7" s="48">
        <f>G7-F7</f>
        <v>2054.7341629374282</v>
      </c>
      <c r="BL7">
        <f>60*('8-1-13 Final #1'!S22-'7-30-13 Initial + cap'!S22)</f>
        <v>2760</v>
      </c>
      <c r="BM7">
        <f>BN7/60</f>
        <v>1.2407814993583503E-2</v>
      </c>
      <c r="BN7">
        <f>BK7/BL7</f>
        <v>0.74446889961501017</v>
      </c>
      <c r="BO7">
        <f>BN7/3</f>
        <v>0.24815629987167007</v>
      </c>
      <c r="BP7" s="48">
        <f>H7-F7</f>
        <v>2113.916764712028</v>
      </c>
      <c r="BQ7">
        <f>('8-5-13 final 1'!S22-'7-30-13 Initial + cap'!S22)*60</f>
        <v>8669</v>
      </c>
      <c r="BR7">
        <f>BS7/60</f>
        <v>4.0641303585804362E-3</v>
      </c>
      <c r="BS7">
        <f>BP7/BQ7</f>
        <v>0.24384782151482617</v>
      </c>
      <c r="BT7">
        <f>BS7/3</f>
        <v>8.128260717160872E-2</v>
      </c>
      <c r="BU7" s="48">
        <f>'8-8-13 Final'!U22-'8-5-13 initial'!U22</f>
        <v>1992.2210569348263</v>
      </c>
      <c r="BV7">
        <f>('8-8-13 Final'!S22-'8-5-13 initial'!S22)*60</f>
        <v>4187.9999999999973</v>
      </c>
      <c r="BW7">
        <f>BX7/60</f>
        <v>7.928291375894729E-3</v>
      </c>
      <c r="BX7">
        <f>BU7/BV7</f>
        <v>0.47569748255368377</v>
      </c>
      <c r="BY7">
        <f>BX7/3</f>
        <v>0.15856582751789458</v>
      </c>
      <c r="BZ7" s="48">
        <v>2567.95144447743</v>
      </c>
      <c r="CA7">
        <v>11353</v>
      </c>
      <c r="CB7">
        <f>CC7/60</f>
        <v>3.7698573717335E-3</v>
      </c>
      <c r="CC7">
        <v>0.22619144230401</v>
      </c>
      <c r="CD7">
        <v>7.5397147434670006E-2</v>
      </c>
    </row>
    <row r="8" spans="1:92">
      <c r="A8">
        <v>5</v>
      </c>
      <c r="B8">
        <v>1216.13844310834</v>
      </c>
      <c r="C8">
        <v>1405.4479886435199</v>
      </c>
      <c r="D8">
        <v>9309.5347524832996</v>
      </c>
      <c r="F8">
        <v>1092.3095198485901</v>
      </c>
      <c r="G8">
        <v>4257.5408826787598</v>
      </c>
      <c r="H8">
        <v>6273.7221618433096</v>
      </c>
      <c r="I8">
        <v>1030.50125600253</v>
      </c>
      <c r="J8">
        <v>4394.7188068150499</v>
      </c>
      <c r="K8">
        <v>4965.4733616001604</v>
      </c>
      <c r="M8">
        <f>C8-B8</f>
        <v>189.30954553517995</v>
      </c>
      <c r="N8">
        <f>D8-B8</f>
        <v>8093.3963093749599</v>
      </c>
      <c r="O8">
        <f>(G8-F8)+N8</f>
        <v>11258.62767220513</v>
      </c>
      <c r="P8">
        <f>(H8-F8)+N8</f>
        <v>13274.80895136968</v>
      </c>
      <c r="Q8">
        <f>(J8-I8)+P8</f>
        <v>16639.026502182198</v>
      </c>
      <c r="R8">
        <f>(K8-J8)+Q8</f>
        <v>17209.781056967309</v>
      </c>
      <c r="U8">
        <v>2.7199647347009401E-2</v>
      </c>
      <c r="V8">
        <v>1.9369606331071602E-2</v>
      </c>
      <c r="W8">
        <v>1.9113715959119398E-2</v>
      </c>
      <c r="X8">
        <v>9.9581270026036506E-3</v>
      </c>
      <c r="Y8">
        <v>1.3401121537653399E-2</v>
      </c>
      <c r="Z8">
        <v>5.7772082828247999E-3</v>
      </c>
      <c r="AC8" s="54">
        <f>1.013*10^5*50*10^(-6)*(M8*10^(-6))/(8.3145*(273.15+15))/3*12.011*10^6</f>
        <v>1.602341619522585</v>
      </c>
      <c r="AD8" s="54">
        <f>1.013*10^5*50*10^(-6)*(N8*10^(-6))/(8.3145*(273.15+15))/3*12.011*10^6</f>
        <v>68.503601934811229</v>
      </c>
      <c r="AE8" s="54">
        <f>1.013*10^5*50*10^(-6)*(O8*10^(-6))/(8.3145*(273.15+15))/3*12.011*10^6</f>
        <v>95.294548655131067</v>
      </c>
      <c r="AF8" s="54">
        <f>1.013*10^5*50*10^(-6)*(P8*10^(-6))/(8.3145*(273.15+15))/3*12.011*10^6</f>
        <v>112.35977992476765</v>
      </c>
      <c r="AG8" s="54">
        <f>1.013*10^5*50*10^(-6)*(Q8*10^(-6))/(8.3145*(273.15+15))/3*12.011*10^6</f>
        <v>140.83497267617321</v>
      </c>
      <c r="AH8" s="54">
        <f>1.013*10^5*50*10^(-6)*(R8*10^(-6))/(8.3145*(273.15+15))/3*12.011*10^6</f>
        <v>145.66591648874663</v>
      </c>
      <c r="AK8" s="54">
        <f>1.013*10^5*50*10^(-6)*(U8*10^(-6))/(8.3145*(273.15+15))/3*12.011*10^6</f>
        <v>2.3022149705784932E-4</v>
      </c>
      <c r="AL8" s="54">
        <f>1.013*10^5*50*10^(-6)*(V8*10^(-6))/(8.3145*(273.15+15))/3*12.011*10^6</f>
        <v>1.639469699760942E-4</v>
      </c>
      <c r="AM8" s="54">
        <f>1.013*10^5*50*10^(-6)*(W8*10^(-6))/(8.3145*(273.15+15))/3*12.011*10^6</f>
        <v>1.6178107922898487E-4</v>
      </c>
      <c r="AN8" s="54">
        <f>1.013*10^5*50*10^(-6)*(X8*10^(-6))/(8.3145*(273.15+15))/3*12.011*10^6</f>
        <v>8.4286934943797172E-5</v>
      </c>
      <c r="AO8" s="54">
        <f>1.013*10^5*50*10^(-6)*(Y8*10^(-6))/(8.3145*(273.15+15))/3*12.011*10^6</f>
        <v>1.1342890675352723E-4</v>
      </c>
      <c r="AP8" s="54">
        <f>1.013*10^5*50*10^(-6)*(Z8*10^(-6))/(8.3145*(273.15+15))/3*12.011*10^6</f>
        <v>4.8899072944531024E-5</v>
      </c>
      <c r="AZ8">
        <v>5</v>
      </c>
      <c r="BA8">
        <f>C8-B8</f>
        <v>189.30954553517995</v>
      </c>
      <c r="BB8">
        <f>('7-24-13 Final'!S23-'7-24-13 Initial'!S23)*60</f>
        <v>115.99999999999682</v>
      </c>
      <c r="BC8">
        <f>BD8/60</f>
        <v>2.7199647347009359E-2</v>
      </c>
      <c r="BD8">
        <f>BA8/BB8</f>
        <v>1.6319788408205615</v>
      </c>
      <c r="BE8">
        <f>BD8/3</f>
        <v>0.54399294694018718</v>
      </c>
      <c r="BF8" s="48">
        <f>D8-B8</f>
        <v>8093.3963093749599</v>
      </c>
      <c r="BG8">
        <f>('7-29-13 Final #2'!S23-'7-24-13 Initial'!S23)*60</f>
        <v>6963.9999999999964</v>
      </c>
      <c r="BH8">
        <f>BI8/60</f>
        <v>1.9369606331071616E-2</v>
      </c>
      <c r="BI8">
        <f>BF8/BG8</f>
        <v>1.162176379864297</v>
      </c>
      <c r="BJ8">
        <f>BI8/3</f>
        <v>0.38739212662143235</v>
      </c>
      <c r="BK8" s="48">
        <f>G8-F8</f>
        <v>3165.2313628301699</v>
      </c>
      <c r="BL8">
        <f>60*('8-1-13 Final #1'!S23-'7-30-13 Initial + cap'!S23)</f>
        <v>2760</v>
      </c>
      <c r="BM8">
        <f>BN8/60</f>
        <v>1.9113715959119384E-2</v>
      </c>
      <c r="BN8">
        <f>BK8/BL8</f>
        <v>1.1468229575471631</v>
      </c>
      <c r="BO8">
        <f>BN8/3</f>
        <v>0.38227431918238769</v>
      </c>
      <c r="BP8" s="48">
        <f>H8-F8</f>
        <v>5181.4126419947197</v>
      </c>
      <c r="BQ8">
        <f>('8-5-13 final 1'!S23-'7-30-13 Initial + cap'!S23)*60</f>
        <v>8671.9999999999982</v>
      </c>
      <c r="BR8">
        <f>BS8/60</f>
        <v>9.9581270026036298E-3</v>
      </c>
      <c r="BS8">
        <f>BP8/BQ8</f>
        <v>0.59748762015621781</v>
      </c>
      <c r="BT8">
        <f>BS8/3</f>
        <v>0.1991625400520726</v>
      </c>
      <c r="BU8" s="48">
        <f>'8-8-13 Final'!U23-'8-5-13 initial'!U23</f>
        <v>3364.217550812521</v>
      </c>
      <c r="BV8">
        <f>('8-8-13 Final'!S23-'8-5-13 initial'!S23)*60</f>
        <v>4184.0000000000009</v>
      </c>
      <c r="BW8">
        <f>BX8/60</f>
        <v>1.3401121537653443E-2</v>
      </c>
      <c r="BX8">
        <f>BU8/BV8</f>
        <v>0.80406729225920659</v>
      </c>
      <c r="BY8">
        <f>BX8/3</f>
        <v>0.26802243075306886</v>
      </c>
      <c r="BZ8" s="48">
        <v>3934.9721055976302</v>
      </c>
      <c r="CA8">
        <v>11352</v>
      </c>
      <c r="CB8">
        <f>CC8/60</f>
        <v>5.7772082828247999E-3</v>
      </c>
      <c r="CC8">
        <v>0.346632496969488</v>
      </c>
      <c r="CD8">
        <v>0.115544165656496</v>
      </c>
    </row>
    <row r="9" spans="1:92">
      <c r="A9" s="18">
        <v>6</v>
      </c>
      <c r="B9">
        <v>867.49402769227402</v>
      </c>
      <c r="C9">
        <v>1005.20874525772</v>
      </c>
      <c r="D9">
        <v>5554.8311577024797</v>
      </c>
      <c r="F9">
        <v>818.68113629490904</v>
      </c>
      <c r="G9">
        <v>1930.5334064389699</v>
      </c>
      <c r="H9">
        <v>2489.1604860921798</v>
      </c>
      <c r="I9">
        <v>1121.17034635655</v>
      </c>
      <c r="J9">
        <v>1949.3393157415201</v>
      </c>
      <c r="K9">
        <v>2148.42358269242</v>
      </c>
      <c r="M9">
        <f>C9-B9</f>
        <v>137.71471756544599</v>
      </c>
      <c r="N9">
        <f>D9-B9</f>
        <v>4687.3371300102053</v>
      </c>
      <c r="O9">
        <f>(G9-F9)+N9</f>
        <v>5799.189400154266</v>
      </c>
      <c r="P9">
        <f>(H9-F9)+N9</f>
        <v>6357.8164798074758</v>
      </c>
      <c r="Q9">
        <f>(J9-I9)+P9</f>
        <v>7185.9854491924461</v>
      </c>
      <c r="R9">
        <f>(K9-J9)+Q9</f>
        <v>7385.0697161433463</v>
      </c>
      <c r="U9">
        <v>1.9617481134678899E-2</v>
      </c>
      <c r="V9">
        <v>1.1216408542737999E-2</v>
      </c>
      <c r="W9">
        <v>6.7140837569086001E-3</v>
      </c>
      <c r="X9">
        <v>3.2093743511955302E-3</v>
      </c>
      <c r="Y9">
        <v>3.2997408932383902E-3</v>
      </c>
      <c r="Z9">
        <v>1.50831532660246E-3</v>
      </c>
      <c r="AC9" s="54">
        <f>1.013*10^5*50*10^(-6)*(M9*10^(-6))/(8.3145*(273.15+15))/3*12.011*10^6</f>
        <v>1.1656360113912225</v>
      </c>
      <c r="AD9" s="54">
        <f>1.013*10^5*50*10^(-6)*(N9*10^(-6))/(8.3145*(273.15+15))/3*12.011*10^6</f>
        <v>39.6742559753975</v>
      </c>
      <c r="AE9" s="54">
        <f>1.013*10^5*50*10^(-6)*(O9*10^(-6))/(8.3145*(273.15+15))/3*12.011*10^6</f>
        <v>49.085124097107837</v>
      </c>
      <c r="AF9" s="54">
        <f>1.013*10^5*50*10^(-6)*(P9*10^(-6))/(8.3145*(273.15+15))/3*12.011*10^6</f>
        <v>53.813419318514697</v>
      </c>
      <c r="AG9" s="54">
        <f>1.013*10^5*50*10^(-6)*(Q9*10^(-6))/(8.3145*(273.15+15))/3*12.011*10^6</f>
        <v>60.823153581471146</v>
      </c>
      <c r="AH9" s="54">
        <f>1.013*10^5*50*10^(-6)*(R9*10^(-6))/(8.3145*(273.15+15))/3*12.011*10^6</f>
        <v>62.508229766223238</v>
      </c>
      <c r="AK9" s="54">
        <f>1.013*10^5*50*10^(-6)*(U9*10^(-6))/(8.3145*(273.15+15))/3*12.011*10^6</f>
        <v>1.6604501586769534E-4</v>
      </c>
      <c r="AL9" s="54">
        <f>1.013*10^5*50*10^(-6)*(V9*10^(-6))/(8.3145*(273.15+15))/3*12.011*10^6</f>
        <v>9.4937200228278418E-5</v>
      </c>
      <c r="AM9" s="54">
        <f>1.013*10^5*50*10^(-6)*(W9*10^(-6))/(8.3145*(273.15+15))/3*12.011*10^6</f>
        <v>5.6828913778444261E-5</v>
      </c>
      <c r="AN9" s="54">
        <f>1.013*10^5*50*10^(-6)*(X9*10^(-6))/(8.3145*(273.15+15))/3*12.011*10^6</f>
        <v>2.716457894931264E-5</v>
      </c>
      <c r="AO9" s="54">
        <f>1.013*10^5*50*10^(-6)*(Y9*10^(-6))/(8.3145*(273.15+15))/3*12.011*10^6</f>
        <v>2.7929453593738335E-5</v>
      </c>
      <c r="AP9" s="54">
        <f>1.013*10^5*50*10^(-6)*(Z9*10^(-6))/(8.3145*(273.15+15))/3*12.011*10^6</f>
        <v>1.2766585099269571E-5</v>
      </c>
      <c r="AZ9" s="18">
        <v>6</v>
      </c>
      <c r="BA9">
        <f>C9-B9</f>
        <v>137.71471756544599</v>
      </c>
      <c r="BB9">
        <f>('7-24-13 Final'!S24-'7-24-13 Initial'!S24)*60</f>
        <v>116.99999999999591</v>
      </c>
      <c r="BC9">
        <f>BD9/60</f>
        <v>1.9617481134679603E-2</v>
      </c>
      <c r="BD9">
        <f>BA9/BB9</f>
        <v>1.1770488680807762</v>
      </c>
      <c r="BE9">
        <f>BD9/3</f>
        <v>0.39234962269359208</v>
      </c>
      <c r="BF9" s="48">
        <f>D9-B9</f>
        <v>4687.3371300102053</v>
      </c>
      <c r="BG9">
        <f>('7-29-13 Final #2'!S24-'7-24-13 Initial'!S24)*60</f>
        <v>6964.9999999999955</v>
      </c>
      <c r="BH9">
        <f>BI9/60</f>
        <v>1.1216408542737996E-2</v>
      </c>
      <c r="BI9">
        <f>BF9/BG9</f>
        <v>0.67298451256427971</v>
      </c>
      <c r="BJ9">
        <f>BI9/3</f>
        <v>0.2243281708547599</v>
      </c>
      <c r="BK9" s="48">
        <f>G9-F9</f>
        <v>1111.8522701440609</v>
      </c>
      <c r="BL9">
        <f>60*('8-1-13 Final #1'!S24-'7-30-13 Initial + cap'!S24)</f>
        <v>2760</v>
      </c>
      <c r="BM9">
        <f>BN9/60</f>
        <v>6.714083756908581E-3</v>
      </c>
      <c r="BN9">
        <f>BK9/BL9</f>
        <v>0.40284502541451483</v>
      </c>
      <c r="BO9">
        <f>BN9/3</f>
        <v>0.1342816751381716</v>
      </c>
      <c r="BP9" s="48">
        <f>H9-F9</f>
        <v>1670.4793497972707</v>
      </c>
      <c r="BQ9">
        <f>('8-5-13 final 1'!S24-'7-30-13 Initial + cap'!S24)*60</f>
        <v>8675.0000000000018</v>
      </c>
      <c r="BR9">
        <f>BS9/60</f>
        <v>3.2093743511955241E-3</v>
      </c>
      <c r="BS9">
        <f>BP9/BQ9</f>
        <v>0.19256246107173144</v>
      </c>
      <c r="BT9">
        <f>BS9/3</f>
        <v>6.4187487023910486E-2</v>
      </c>
      <c r="BU9" s="48">
        <f>'8-8-13 Final'!U24-'8-5-13 initial'!U24</f>
        <v>828.16896938496916</v>
      </c>
      <c r="BV9">
        <f>('8-8-13 Final'!S24-'8-5-13 initial'!S24)*60</f>
        <v>4182.9999999999945</v>
      </c>
      <c r="BW9">
        <f>BX9/60</f>
        <v>3.2997408932383867E-3</v>
      </c>
      <c r="BX9">
        <f>BU9/BV9</f>
        <v>0.19798445359430319</v>
      </c>
      <c r="BY9">
        <f>BX9/3</f>
        <v>6.5994817864767727E-2</v>
      </c>
      <c r="BZ9" s="48">
        <v>1027.25323633587</v>
      </c>
      <c r="CA9">
        <v>11351</v>
      </c>
      <c r="CB9">
        <f>CC9/60</f>
        <v>1.50831532660246E-3</v>
      </c>
      <c r="CC9">
        <v>9.0498919596147601E-2</v>
      </c>
      <c r="CD9">
        <v>3.01663065320492E-2</v>
      </c>
    </row>
    <row r="10" spans="1:92">
      <c r="A10" s="18">
        <v>7</v>
      </c>
      <c r="B10">
        <v>917.70455948792301</v>
      </c>
      <c r="C10">
        <v>1001.97011494048</v>
      </c>
      <c r="D10">
        <v>6571.1426698965597</v>
      </c>
      <c r="F10">
        <v>834.69102413395797</v>
      </c>
      <c r="G10">
        <v>2270.7380031083999</v>
      </c>
      <c r="H10">
        <v>3494.7180540098002</v>
      </c>
      <c r="I10">
        <v>854.14430615169499</v>
      </c>
      <c r="J10">
        <v>1897.8828369033399</v>
      </c>
      <c r="K10">
        <v>2572.4166931069999</v>
      </c>
      <c r="M10">
        <f>C10-B10</f>
        <v>84.26555545255701</v>
      </c>
      <c r="N10">
        <f>D10-B10</f>
        <v>5653.4381104086369</v>
      </c>
      <c r="O10">
        <f>(G10-F10)+N10</f>
        <v>7089.485089383079</v>
      </c>
      <c r="P10">
        <f>(H10-F10)+N10</f>
        <v>8313.4651402844793</v>
      </c>
      <c r="Q10">
        <f>(J10-I10)+P10</f>
        <v>9357.2036710361244</v>
      </c>
      <c r="R10">
        <f>(K10-J10)+Q10</f>
        <v>10031.737527239784</v>
      </c>
      <c r="U10">
        <v>1.20036403778564E-2</v>
      </c>
      <c r="V10">
        <v>1.35282079693913E-2</v>
      </c>
      <c r="W10">
        <v>8.6717812740002495E-3</v>
      </c>
      <c r="X10">
        <v>5.1099335905099097E-3</v>
      </c>
      <c r="Y10">
        <v>4.15964662343234E-3</v>
      </c>
      <c r="Z10">
        <v>2.5236053151147099E-3</v>
      </c>
      <c r="AC10" s="54">
        <f>1.013*10^5*50*10^(-6)*(M10*10^(-6))/(8.3145*(273.15+15))/3*12.011*10^6</f>
        <v>0.71323506805803849</v>
      </c>
      <c r="AD10" s="54">
        <f>1.013*10^5*50*10^(-6)*(N10*10^(-6))/(8.3145*(273.15+15))/3*12.011*10^6</f>
        <v>47.851465450903348</v>
      </c>
      <c r="AE10" s="54">
        <f>1.013*10^5*50*10^(-6)*(O10*10^(-6))/(8.3145*(273.15+15))/3*12.011*10^6</f>
        <v>60.006361473158165</v>
      </c>
      <c r="AF10" s="54">
        <f>1.013*10^5*50*10^(-6)*(P10*10^(-6))/(8.3145*(273.15+15))/3*12.011*10^6</f>
        <v>70.366294309509641</v>
      </c>
      <c r="AG10" s="54">
        <f>1.013*10^5*50*10^(-6)*(Q10*10^(-6))/(8.3145*(273.15+15))/3*12.011*10^6</f>
        <v>79.200638520704857</v>
      </c>
      <c r="AH10" s="54">
        <f>1.013*10^5*50*10^(-6)*(R10*10^(-6))/(8.3145*(273.15+15))/3*12.011*10^6</f>
        <v>84.909984388694028</v>
      </c>
      <c r="AK10" s="54">
        <f>1.013*10^5*50*10^(-6)*(U10*10^(-6))/(8.3145*(273.15+15))/3*12.011*10^6</f>
        <v>1.0160043704529847E-4</v>
      </c>
      <c r="AL10" s="54">
        <f>1.013*10^5*50*10^(-6)*(V10*10^(-6))/(8.3145*(273.15+15))/3*12.011*10^6</f>
        <v>1.1450458351496352E-4</v>
      </c>
      <c r="AM10" s="54">
        <f>1.013*10^5*50*10^(-6)*(W10*10^(-6))/(8.3145*(273.15+15))/3*12.011*10^6</f>
        <v>7.3399130569171462E-5</v>
      </c>
      <c r="AN10" s="54">
        <f>1.013*10^5*50*10^(-6)*(X10*10^(-6))/(8.3145*(273.15+15))/3*12.011*10^6</f>
        <v>4.3251169622341797E-5</v>
      </c>
      <c r="AO10" s="54">
        <f>1.013*10^5*50*10^(-6)*(Y10*10^(-6))/(8.3145*(273.15+15))/3*12.011*10^6</f>
        <v>3.5207812096266526E-5</v>
      </c>
      <c r="AP10" s="54">
        <f>1.013*10^5*50*10^(-6)*(Z10*10^(-6))/(8.3145*(273.15+15))/3*12.011*10^6</f>
        <v>2.1360136997979637E-5</v>
      </c>
      <c r="AZ10" s="18">
        <v>7</v>
      </c>
      <c r="BA10">
        <f>C10-B10</f>
        <v>84.26555545255701</v>
      </c>
      <c r="BB10">
        <f>('7-24-13 Final'!S25-'7-24-13 Initial'!S25)*60</f>
        <v>117.00000000000273</v>
      </c>
      <c r="BC10">
        <f>BD10/60</f>
        <v>1.2003640377856844E-2</v>
      </c>
      <c r="BD10">
        <f>BA10/BB10</f>
        <v>0.72021842267141067</v>
      </c>
      <c r="BE10">
        <f>BD10/3</f>
        <v>0.24007280755713689</v>
      </c>
      <c r="BF10" s="48">
        <f>D10-B10</f>
        <v>5653.4381104086369</v>
      </c>
      <c r="BG10">
        <f>('7-29-13 Final #2'!S25-'7-24-13 Initial'!S25)*60</f>
        <v>6965.0000000000018</v>
      </c>
      <c r="BH10">
        <f>BI10/60</f>
        <v>1.3528207969391326E-2</v>
      </c>
      <c r="BI10">
        <f>BF10/BG10</f>
        <v>0.81169247816347956</v>
      </c>
      <c r="BJ10">
        <f>BI10/3</f>
        <v>0.27056415938782652</v>
      </c>
      <c r="BK10" s="48">
        <f>G10-F10</f>
        <v>1436.046978974442</v>
      </c>
      <c r="BL10">
        <f>60*('8-1-13 Final #1'!S25-'7-30-13 Initial + cap'!S25)</f>
        <v>2760</v>
      </c>
      <c r="BM10">
        <f>BN10/60</f>
        <v>8.6717812740002547E-3</v>
      </c>
      <c r="BN10">
        <f>BK10/BL10</f>
        <v>0.52030687644001528</v>
      </c>
      <c r="BO10">
        <f>BN10/3</f>
        <v>0.1734356254800051</v>
      </c>
      <c r="BP10" s="48">
        <f>H10-F10</f>
        <v>2660.0270298758423</v>
      </c>
      <c r="BQ10">
        <f>('8-5-13 final 1'!S25-'7-30-13 Initial + cap'!S25)*60</f>
        <v>8676.0000000000018</v>
      </c>
      <c r="BR10">
        <f>BS10/60</f>
        <v>5.1099335905099158E-3</v>
      </c>
      <c r="BS10">
        <f>BP10/BQ10</f>
        <v>0.30659601543059495</v>
      </c>
      <c r="BT10">
        <f>BS10/3</f>
        <v>0.10219867181019832</v>
      </c>
      <c r="BU10" s="48">
        <f>'8-8-13 Final'!U25-'8-5-13 initial'!U25</f>
        <v>1043.7385307516438</v>
      </c>
      <c r="BV10">
        <f>('8-8-13 Final'!S25-'8-5-13 initial'!S25)*60</f>
        <v>4182.0000000000027</v>
      </c>
      <c r="BW10">
        <f>BX10/60</f>
        <v>4.1596466234323417E-3</v>
      </c>
      <c r="BX10">
        <f>BU10/BV10</f>
        <v>0.24957879740594049</v>
      </c>
      <c r="BY10">
        <f>BX10/3</f>
        <v>8.3192932468646827E-2</v>
      </c>
      <c r="BZ10" s="48">
        <v>1718.2723869553099</v>
      </c>
      <c r="CA10">
        <v>11348</v>
      </c>
      <c r="CB10">
        <f>CC10/60</f>
        <v>2.5236053151147168E-3</v>
      </c>
      <c r="CC10">
        <v>0.15141631890688301</v>
      </c>
      <c r="CD10">
        <v>5.0472106302294303E-2</v>
      </c>
    </row>
    <row r="11" spans="1:92">
      <c r="A11" s="18">
        <v>8</v>
      </c>
      <c r="B11">
        <v>858.58044733158499</v>
      </c>
      <c r="C11">
        <v>994.71815448732696</v>
      </c>
      <c r="D11">
        <v>6285.5217950655797</v>
      </c>
      <c r="F11">
        <v>698.74325711230199</v>
      </c>
      <c r="G11">
        <v>1755.31273331643</v>
      </c>
      <c r="H11">
        <v>1926.5725410345599</v>
      </c>
      <c r="I11">
        <v>600.39164959591005</v>
      </c>
      <c r="J11">
        <v>2464.49090826066</v>
      </c>
      <c r="K11">
        <v>2529.1228352349599</v>
      </c>
      <c r="M11">
        <f>C11-B11</f>
        <v>136.13770715574196</v>
      </c>
      <c r="N11">
        <f>D11-B11</f>
        <v>5426.9413477339949</v>
      </c>
      <c r="O11">
        <f>(G11-F11)+N11</f>
        <v>6483.5108239381225</v>
      </c>
      <c r="P11">
        <f>(H11-F11)+N11</f>
        <v>6654.7706316562526</v>
      </c>
      <c r="Q11">
        <f>(J11-I11)+P11</f>
        <v>8518.8698903210025</v>
      </c>
      <c r="R11">
        <f>(K11-J11)+Q11</f>
        <v>8583.5018172953023</v>
      </c>
      <c r="U11">
        <v>1.9560015395939299E-2</v>
      </c>
      <c r="V11">
        <v>1.29862200232926E-2</v>
      </c>
      <c r="W11">
        <v>6.3802504601698402E-3</v>
      </c>
      <c r="X11">
        <v>2.3583982250437101E-3</v>
      </c>
      <c r="Y11">
        <v>7.4308349623883902E-3</v>
      </c>
      <c r="Z11">
        <v>2.83270353900695E-3</v>
      </c>
      <c r="AC11" s="54">
        <f>1.013*10^5*50*10^(-6)*(M11*10^(-6))/(8.3145*(273.15+15))/3*12.011*10^6</f>
        <v>1.152287981809589</v>
      </c>
      <c r="AD11" s="54">
        <f>1.013*10^5*50*10^(-6)*(N11*10^(-6))/(8.3145*(273.15+15))/3*12.011*10^6</f>
        <v>45.934366191620278</v>
      </c>
      <c r="AE11" s="54">
        <f>1.013*10^5*50*10^(-6)*(O11*10^(-6))/(8.3145*(273.15+15))/3*12.011*10^6</f>
        <v>54.877313262001572</v>
      </c>
      <c r="AF11" s="54">
        <f>1.013*10^5*50*10^(-6)*(P11*10^(-6))/(8.3145*(273.15+15))/3*12.011*10^6</f>
        <v>56.326879457316323</v>
      </c>
      <c r="AG11" s="54">
        <f>1.013*10^5*50*10^(-6)*(Q11*10^(-6))/(8.3145*(273.15+15))/3*12.011*10^6</f>
        <v>72.104867918678195</v>
      </c>
      <c r="AH11" s="54">
        <f>1.013*10^5*50*10^(-6)*(R11*10^(-6))/(8.3145*(273.15+15))/3*12.011*10^6</f>
        <v>72.651921297566673</v>
      </c>
      <c r="AK11" s="54">
        <f>1.013*10^5*50*10^(-6)*(U11*10^(-6))/(8.3145*(273.15+15))/3*12.011*10^6</f>
        <v>1.6555861807608497E-4</v>
      </c>
      <c r="AL11" s="54">
        <f>1.013*10^5*50*10^(-6)*(V11*10^(-6))/(8.3145*(273.15+15))/3*12.011*10^6</f>
        <v>1.0991712417233822E-4</v>
      </c>
      <c r="AM11" s="54">
        <f>1.013*10^5*50*10^(-6)*(W11*10^(-6))/(8.3145*(273.15+15))/3*12.011*10^6</f>
        <v>5.4003303565104319E-5</v>
      </c>
      <c r="AN11" s="54">
        <f>1.013*10^5*50*10^(-6)*(X11*10^(-6))/(8.3145*(273.15+15))/3*12.011*10^6</f>
        <v>1.9961801824163554E-5</v>
      </c>
      <c r="AO11" s="54">
        <f>1.013*10^5*50*10^(-6)*(Y11*10^(-6))/(8.3145*(273.15+15))/3*12.011*10^6</f>
        <v>6.2895593005508508E-5</v>
      </c>
      <c r="AP11" s="54">
        <f>1.013*10^5*50*10^(-6)*(Z11*10^(-6))/(8.3145*(273.15+15))/3*12.011*10^6</f>
        <v>2.3976386206453952E-5</v>
      </c>
      <c r="AZ11" s="18">
        <v>8</v>
      </c>
      <c r="BA11">
        <f>C11-B11</f>
        <v>136.13770715574196</v>
      </c>
      <c r="BB11">
        <f>('7-24-13 Final'!S26-'7-24-13 Initial'!S26)*60</f>
        <v>116.00000000000364</v>
      </c>
      <c r="BC11">
        <f>BD11/60</f>
        <v>1.9560015395939323E-2</v>
      </c>
      <c r="BD11">
        <f>BA11/BB11</f>
        <v>1.1736009237563594</v>
      </c>
      <c r="BE11">
        <f>BD11/3</f>
        <v>0.39120030791878646</v>
      </c>
      <c r="BF11" s="48">
        <f>D11-B11</f>
        <v>5426.9413477339949</v>
      </c>
      <c r="BG11">
        <f>('7-29-13 Final #2'!S26-'7-24-13 Initial'!S26)*60</f>
        <v>6965.0000000000018</v>
      </c>
      <c r="BH11">
        <f>BI11/60</f>
        <v>1.2986220023292638E-2</v>
      </c>
      <c r="BI11">
        <f>BF11/BG11</f>
        <v>0.7791732013975583</v>
      </c>
      <c r="BJ11">
        <f>BI11/3</f>
        <v>0.25972440046585277</v>
      </c>
      <c r="BK11" s="48">
        <f>G11-F11</f>
        <v>1056.569476204128</v>
      </c>
      <c r="BL11">
        <f>60*('8-1-13 Final #1'!S26-'7-30-13 Initial + cap'!S26)</f>
        <v>2760</v>
      </c>
      <c r="BM11">
        <f>BN11/60</f>
        <v>6.380250460169855E-3</v>
      </c>
      <c r="BN11">
        <f>BK11/BL11</f>
        <v>0.38281502761019132</v>
      </c>
      <c r="BO11">
        <f>BN11/3</f>
        <v>0.1276050092033971</v>
      </c>
      <c r="BP11" s="48">
        <f>H11-F11</f>
        <v>1227.8292839222579</v>
      </c>
      <c r="BQ11">
        <f>('8-5-13 final 1'!S26-'7-30-13 Initial + cap'!S26)*60</f>
        <v>8677</v>
      </c>
      <c r="BR11">
        <f>BS11/60</f>
        <v>2.3583982250437131E-3</v>
      </c>
      <c r="BS11">
        <f>BP11/BQ11</f>
        <v>0.1415038935026228</v>
      </c>
      <c r="BT11">
        <f>BS11/3</f>
        <v>4.7167964500874265E-2</v>
      </c>
      <c r="BU11" s="48">
        <f>'8-8-13 Final'!U26-'8-5-13 initial'!U26</f>
        <v>1864.0992586647526</v>
      </c>
      <c r="BV11">
        <f>('8-8-13 Final'!S26-'8-5-13 initial'!S26)*60</f>
        <v>4181.0000000000036</v>
      </c>
      <c r="BW11">
        <f>BX11/60</f>
        <v>7.4308349623883876E-3</v>
      </c>
      <c r="BX11">
        <f>BU11/BV11</f>
        <v>0.44585009774330325</v>
      </c>
      <c r="BY11">
        <f>BX11/3</f>
        <v>0.14861669924776774</v>
      </c>
      <c r="BZ11" s="48">
        <v>1928.73118563905</v>
      </c>
      <c r="CA11">
        <v>11348</v>
      </c>
      <c r="CB11">
        <f>CC11/60</f>
        <v>2.83270353900695E-3</v>
      </c>
      <c r="CC11">
        <v>0.169962212340417</v>
      </c>
      <c r="CD11">
        <v>5.6654070780139003E-2</v>
      </c>
    </row>
    <row r="12" spans="1:92">
      <c r="A12">
        <v>9</v>
      </c>
      <c r="B12">
        <v>860.49876464722001</v>
      </c>
      <c r="C12">
        <v>1032.93729137836</v>
      </c>
      <c r="D12">
        <v>7340.1389679597996</v>
      </c>
      <c r="F12">
        <v>758.23442129248394</v>
      </c>
      <c r="G12">
        <v>1516.64896554146</v>
      </c>
      <c r="H12">
        <v>3599.4695469981798</v>
      </c>
      <c r="I12">
        <v>1242.56120336393</v>
      </c>
      <c r="J12">
        <v>3056.32865553891</v>
      </c>
      <c r="K12">
        <v>3301.1298793788901</v>
      </c>
      <c r="M12">
        <f>C12-B12</f>
        <v>172.43852673113997</v>
      </c>
      <c r="N12">
        <f>D12-B12</f>
        <v>6479.6402033125796</v>
      </c>
      <c r="O12">
        <f>(G12-F12)+N12</f>
        <v>7238.0547475615558</v>
      </c>
      <c r="P12">
        <f>(H12-F12)+N12</f>
        <v>9320.8753290182758</v>
      </c>
      <c r="Q12">
        <f>(J12-I12)+P12</f>
        <v>11134.642781193255</v>
      </c>
      <c r="R12">
        <f>(K12-J12)+Q12</f>
        <v>11379.444005033236</v>
      </c>
      <c r="U12">
        <v>2.4775650392404199E-2</v>
      </c>
      <c r="V12">
        <v>1.5505240974665199E-2</v>
      </c>
      <c r="W12">
        <v>4.5797979725179499E-3</v>
      </c>
      <c r="X12">
        <v>5.45677791677364E-3</v>
      </c>
      <c r="Y12">
        <v>7.2319276402511299E-3</v>
      </c>
      <c r="Z12">
        <v>3.02339424864141E-3</v>
      </c>
      <c r="AC12" s="54">
        <f>1.013*10^5*50*10^(-6)*(M12*10^(-6))/(8.3145*(273.15+15))/3*12.011*10^6</f>
        <v>1.4595430325995724</v>
      </c>
      <c r="AD12" s="54">
        <f>1.013*10^5*50*10^(-6)*(N12*10^(-6))/(8.3145*(273.15+15))/3*12.011*10^6</f>
        <v>54.844551805075788</v>
      </c>
      <c r="AE12" s="54">
        <f>1.013*10^5*50*10^(-6)*(O12*10^(-6))/(8.3145*(273.15+15))/3*12.011*10^6</f>
        <v>61.263875171290096</v>
      </c>
      <c r="AF12" s="54">
        <f>1.013*10^5*50*10^(-6)*(P12*10^(-6))/(8.3145*(273.15+15))/3*12.011*10^6</f>
        <v>78.893150516236361</v>
      </c>
      <c r="AG12" s="54">
        <f>1.013*10^5*50*10^(-6)*(Q12*10^(-6))/(8.3145*(273.15+15))/3*12.011*10^6</f>
        <v>94.245123754243679</v>
      </c>
      <c r="AH12" s="54">
        <f>1.013*10^5*50*10^(-6)*(R12*10^(-6))/(8.3145*(273.15+15))/3*12.011*10^6</f>
        <v>96.3171544506354</v>
      </c>
      <c r="AK12" s="54">
        <f>1.013*10^5*50*10^(-6)*(U12*10^(-6))/(8.3145*(273.15+15))/3*12.011*10^6</f>
        <v>2.0970445870682695E-4</v>
      </c>
      <c r="AL12" s="54">
        <f>1.013*10^5*50*10^(-6)*(V12*10^(-6))/(8.3145*(273.15+15))/3*12.011*10^6</f>
        <v>1.3123845849503672E-4</v>
      </c>
      <c r="AM12" s="54">
        <f>1.013*10^5*50*10^(-6)*(W12*10^(-6))/(8.3145*(273.15+15))/3*12.011*10^6</f>
        <v>3.8764029989216511E-5</v>
      </c>
      <c r="AN12" s="54">
        <f>1.013*10^5*50*10^(-6)*(X12*10^(-6))/(8.3145*(273.15+15))/3*12.011*10^6</f>
        <v>4.6186906950834653E-5</v>
      </c>
      <c r="AO12" s="54">
        <f>1.013*10^5*50*10^(-6)*(Y12*10^(-6))/(8.3145*(273.15+15))/3*12.011*10^6</f>
        <v>6.1212014505611416E-5</v>
      </c>
      <c r="AP12" s="54">
        <f>1.013*10^5*50*10^(-6)*(Z12*10^(-6))/(8.3145*(273.15+15))/3*12.011*10^6</f>
        <v>2.559041818587577E-5</v>
      </c>
      <c r="AZ12">
        <v>9</v>
      </c>
      <c r="BA12">
        <f>C12-B12</f>
        <v>172.43852673113997</v>
      </c>
      <c r="BB12">
        <f>('7-24-13 Final'!S27-'7-24-13 Initial'!S27)*60</f>
        <v>116.00000000000364</v>
      </c>
      <c r="BC12">
        <f>BD12/60</f>
        <v>2.477565039240439E-2</v>
      </c>
      <c r="BD12">
        <f>BA12/BB12</f>
        <v>1.4865390235442635</v>
      </c>
      <c r="BE12">
        <f>BD12/3</f>
        <v>0.49551300784808783</v>
      </c>
      <c r="BF12" s="48">
        <f>D12-B12</f>
        <v>6479.6402033125796</v>
      </c>
      <c r="BG12">
        <f>('7-29-13 Final #2'!S27-'7-24-13 Initial'!S27)*60</f>
        <v>6965.0000000000018</v>
      </c>
      <c r="BH12">
        <f>BI12/60</f>
        <v>1.5505240974665178E-2</v>
      </c>
      <c r="BI12">
        <f>BF12/BG12</f>
        <v>0.93031445847991068</v>
      </c>
      <c r="BJ12">
        <f>BI12/3</f>
        <v>0.31010481949330354</v>
      </c>
      <c r="BK12" s="48">
        <f>G12-F12</f>
        <v>758.41454424897609</v>
      </c>
      <c r="BL12">
        <f>60*('8-1-13 Final #1'!S27-'7-30-13 Initial + cap'!S27)</f>
        <v>2760</v>
      </c>
      <c r="BM12">
        <f>BN12/60</f>
        <v>4.5797979725179716E-3</v>
      </c>
      <c r="BN12">
        <f>BK12/BL12</f>
        <v>0.27478787835107832</v>
      </c>
      <c r="BO12">
        <f>BN12/3</f>
        <v>9.1595959450359435E-2</v>
      </c>
      <c r="BP12" s="48">
        <f>H12-F12</f>
        <v>2841.2351257056957</v>
      </c>
      <c r="BQ12">
        <f>('8-5-13 final 1'!S27-'7-30-13 Initial + cap'!S27)*60</f>
        <v>8678</v>
      </c>
      <c r="BR12">
        <f>BS12/60</f>
        <v>5.4567779167736339E-3</v>
      </c>
      <c r="BS12">
        <f>BP12/BQ12</f>
        <v>0.32740667500641801</v>
      </c>
      <c r="BT12">
        <f>BS12/3</f>
        <v>0.10913555833547267</v>
      </c>
      <c r="BU12" s="48">
        <f>'8-8-13 Final'!U27-'8-5-13 initial'!U27</f>
        <v>1813.767452174983</v>
      </c>
      <c r="BV12">
        <f>('8-8-13 Final'!S27-'8-5-13 initial'!S27)*60</f>
        <v>4179.9999999999982</v>
      </c>
      <c r="BW12">
        <f>BX12/60</f>
        <v>7.2319276402511316E-3</v>
      </c>
      <c r="BX12">
        <f>BU12/BV12</f>
        <v>0.43391565841506791</v>
      </c>
      <c r="BY12">
        <f>BX12/3</f>
        <v>0.14463855280502264</v>
      </c>
      <c r="BZ12" s="48">
        <v>2058.5686760149601</v>
      </c>
      <c r="CA12">
        <v>11348</v>
      </c>
      <c r="CB12">
        <f>CC12/60</f>
        <v>3.0233942486414E-3</v>
      </c>
      <c r="CC12">
        <v>0.18140365491848401</v>
      </c>
      <c r="CD12">
        <v>6.0467884972828102E-2</v>
      </c>
    </row>
    <row r="13" spans="1:92">
      <c r="A13">
        <v>10</v>
      </c>
      <c r="B13">
        <v>993.02866141378195</v>
      </c>
      <c r="C13">
        <v>1116.6353246804999</v>
      </c>
      <c r="D13">
        <v>7949.3326353131797</v>
      </c>
      <c r="F13">
        <v>1189.0421841674599</v>
      </c>
      <c r="G13">
        <v>4032.1709689896902</v>
      </c>
      <c r="H13">
        <v>4109.8645135015704</v>
      </c>
      <c r="I13">
        <v>835.730232568058</v>
      </c>
      <c r="J13">
        <v>2731.5499161061398</v>
      </c>
      <c r="K13">
        <v>3480.4391625206399</v>
      </c>
      <c r="M13">
        <f>C13-B13</f>
        <v>123.60666326671799</v>
      </c>
      <c r="N13">
        <f>D13-B13</f>
        <v>6956.3039738993975</v>
      </c>
      <c r="O13">
        <f>(G13-F13)+N13</f>
        <v>9799.4327587216285</v>
      </c>
      <c r="P13">
        <f>(H13-F13)+N13</f>
        <v>9877.1263032335082</v>
      </c>
      <c r="Q13">
        <f>(J13-I13)+P13</f>
        <v>11772.94598677159</v>
      </c>
      <c r="R13">
        <f>(K13-J13)+Q13</f>
        <v>12521.835233186092</v>
      </c>
      <c r="U13">
        <v>1.7759578055562501E-2</v>
      </c>
      <c r="V13">
        <v>1.6645857798275699E-2</v>
      </c>
      <c r="W13">
        <v>1.7168652082259799E-2</v>
      </c>
      <c r="X13">
        <v>5.6083378059410601E-3</v>
      </c>
      <c r="Y13">
        <v>7.5627081679355296E-3</v>
      </c>
      <c r="Z13">
        <v>3.8849358510379302E-3</v>
      </c>
      <c r="AC13" s="54">
        <f>1.013*10^5*50*10^(-6)*(M13*10^(-6))/(8.3145*(273.15+15))/3*12.011*10^6</f>
        <v>1.0462235300531617</v>
      </c>
      <c r="AD13" s="54">
        <f>1.013*10^5*50*10^(-6)*(N13*10^(-6))/(8.3145*(273.15+15))/3*12.011*10^6</f>
        <v>58.879098483483453</v>
      </c>
      <c r="AE13" s="54">
        <f>1.013*10^5*50*10^(-6)*(O13*10^(-6))/(8.3145*(273.15+15))/3*12.011*10^6</f>
        <v>82.943725381743803</v>
      </c>
      <c r="AF13" s="54">
        <f>1.013*10^5*50*10^(-6)*(P13*10^(-6))/(8.3145*(273.15+15))/3*12.011*10^6</f>
        <v>83.601334059571826</v>
      </c>
      <c r="AG13" s="54">
        <f>1.013*10^5*50*10^(-6)*(Q13*10^(-6))/(8.3145*(273.15+15))/3*12.011*10^6</f>
        <v>99.647808490934779</v>
      </c>
      <c r="AH13" s="54">
        <f>1.013*10^5*50*10^(-6)*(R13*10^(-6))/(8.3145*(273.15+15))/3*12.011*10^6</f>
        <v>105.98650844687472</v>
      </c>
      <c r="AK13" s="54">
        <f>1.013*10^5*50*10^(-6)*(U13*10^(-6))/(8.3145*(273.15+15))/3*12.011*10^6</f>
        <v>1.5031947270878392E-4</v>
      </c>
      <c r="AL13" s="54">
        <f>1.013*10^5*50*10^(-6)*(V13*10^(-6))/(8.3145*(273.15+15))/3*12.011*10^6</f>
        <v>1.408927936910352E-4</v>
      </c>
      <c r="AM13" s="54">
        <f>1.013*10^5*50*10^(-6)*(W13*10^(-6))/(8.3145*(273.15+15))/3*12.011*10^6</f>
        <v>1.4531779527934949E-4</v>
      </c>
      <c r="AN13" s="54">
        <f>1.013*10^5*50*10^(-6)*(X13*10^(-6))/(8.3145*(273.15+15))/3*12.011*10^6</f>
        <v>4.7469730368833185E-5</v>
      </c>
      <c r="AO13" s="54">
        <f>1.013*10^5*50*10^(-6)*(Y13*10^(-6))/(8.3145*(273.15+15))/3*12.011*10^6</f>
        <v>6.4011785668433531E-5</v>
      </c>
      <c r="AP13" s="54">
        <f>1.013*10^5*50*10^(-6)*(Z13*10^(-6))/(8.3145*(273.15+15))/3*12.011*10^6</f>
        <v>3.2882622932168306E-5</v>
      </c>
      <c r="AZ13">
        <v>10</v>
      </c>
      <c r="BA13">
        <f>C13-B13</f>
        <v>123.60666326671799</v>
      </c>
      <c r="BB13">
        <f>('7-24-13 Final'!S28-'7-24-13 Initial'!S28)*60</f>
        <v>116.00000000000364</v>
      </c>
      <c r="BC13">
        <f>BD13/60</f>
        <v>1.7759578055562372E-2</v>
      </c>
      <c r="BD13">
        <f>BA13/BB13</f>
        <v>1.0655746833337423</v>
      </c>
      <c r="BE13">
        <f>BD13/3</f>
        <v>0.35519156111124744</v>
      </c>
      <c r="BF13" s="48">
        <f>D13-B13</f>
        <v>6956.3039738993975</v>
      </c>
      <c r="BG13">
        <f>('7-29-13 Final #2'!S28-'7-24-13 Initial'!S28)*60</f>
        <v>6965.0000000000018</v>
      </c>
      <c r="BH13">
        <f>BI13/60</f>
        <v>1.6645857798275654E-2</v>
      </c>
      <c r="BI13">
        <f>BF13/BG13</f>
        <v>0.99875146789653924</v>
      </c>
      <c r="BJ13">
        <f>BI13/3</f>
        <v>0.33291715596551308</v>
      </c>
      <c r="BK13" s="48">
        <f>G13-F13</f>
        <v>2843.12878482223</v>
      </c>
      <c r="BL13">
        <f>60*('8-1-13 Final #1'!S28-'7-30-13 Initial + cap'!S28)</f>
        <v>2760</v>
      </c>
      <c r="BM13">
        <f>BN13/60</f>
        <v>1.7168652082259841E-2</v>
      </c>
      <c r="BN13">
        <f>BK13/BL13</f>
        <v>1.0301191249355905</v>
      </c>
      <c r="BO13">
        <f>BN13/3</f>
        <v>0.34337304164519683</v>
      </c>
      <c r="BP13" s="48">
        <f>H13-F13</f>
        <v>2920.8223293341107</v>
      </c>
      <c r="BQ13">
        <f>('8-5-13 final 1'!S28-'7-30-13 Initial + cap'!S28)*60</f>
        <v>8680.0000000000036</v>
      </c>
      <c r="BR13">
        <f>BS13/60</f>
        <v>5.6083378059410705E-3</v>
      </c>
      <c r="BS13">
        <f>BP13/BQ13</f>
        <v>0.33650026835646424</v>
      </c>
      <c r="BT13">
        <f>BS13/3</f>
        <v>0.11216675611882142</v>
      </c>
      <c r="BU13" s="48">
        <f>'8-8-13 Final'!U28-'8-5-13 initial'!U28</f>
        <v>1895.8196835380784</v>
      </c>
      <c r="BV13">
        <f>('8-8-13 Final'!S28-'8-5-13 initial'!S28)*60</f>
        <v>4178</v>
      </c>
      <c r="BW13">
        <f>BX13/60</f>
        <v>7.5627081679355288E-3</v>
      </c>
      <c r="BX13">
        <f>BU13/BV13</f>
        <v>0.45376249007613173</v>
      </c>
      <c r="BY13">
        <f>BX13/3</f>
        <v>0.15125416335871059</v>
      </c>
      <c r="BZ13" s="48">
        <v>2644.7089299525801</v>
      </c>
      <c r="CA13">
        <v>11346</v>
      </c>
      <c r="CB13">
        <f>CC13/60</f>
        <v>3.8849358510379332E-3</v>
      </c>
      <c r="CC13">
        <v>0.23309615106227599</v>
      </c>
      <c r="CD13">
        <v>7.7698717020758604E-2</v>
      </c>
    </row>
    <row r="14" spans="1:92">
      <c r="A14">
        <v>12</v>
      </c>
      <c r="B14">
        <v>967.00431156340403</v>
      </c>
      <c r="C14">
        <v>1020.19657943631</v>
      </c>
      <c r="D14">
        <v>3126.4585927983799</v>
      </c>
      <c r="F14">
        <v>722.97587141747704</v>
      </c>
      <c r="G14">
        <v>2062.2937405173102</v>
      </c>
      <c r="H14">
        <v>3633.6313399558599</v>
      </c>
      <c r="I14">
        <v>864.08109867400105</v>
      </c>
      <c r="J14">
        <v>2391.8259604596401</v>
      </c>
      <c r="K14">
        <v>2775.7147485081</v>
      </c>
      <c r="M14">
        <f>C14-B14</f>
        <v>53.192267872905973</v>
      </c>
      <c r="N14">
        <f>D14-B14</f>
        <v>2159.454281234976</v>
      </c>
      <c r="O14">
        <f>(G14-F14)+N14</f>
        <v>3498.7721503348093</v>
      </c>
      <c r="P14">
        <f>(H14-F14)+N14</f>
        <v>5070.109749773359</v>
      </c>
      <c r="Q14">
        <f>(J14-I14)+P14</f>
        <v>6597.8546115589979</v>
      </c>
      <c r="R14">
        <f>(K14-J14)+Q14</f>
        <v>6981.7433996074578</v>
      </c>
      <c r="U14">
        <v>7.6425672231189698E-3</v>
      </c>
      <c r="V14">
        <v>5.1644288545342996E-3</v>
      </c>
      <c r="W14">
        <v>8.0876682916656596E-3</v>
      </c>
      <c r="X14">
        <v>5.5868852327121696E-3</v>
      </c>
      <c r="Y14">
        <v>6.0987818833758102E-3</v>
      </c>
      <c r="Z14">
        <v>2.8095732654822101E-3</v>
      </c>
      <c r="AC14" s="54">
        <f>1.013*10^5*50*10^(-6)*(M14*10^(-6))/(8.3145*(273.15+15))/3*12.011*10^6</f>
        <v>0.45022655571117193</v>
      </c>
      <c r="AD14" s="54">
        <f>1.013*10^5*50*10^(-6)*(N14*10^(-6))/(8.3145*(273.15+15))/3*12.011*10^6</f>
        <v>18.277913353481772</v>
      </c>
      <c r="AE14" s="54">
        <f>1.013*10^5*50*10^(-6)*(O14*10^(-6))/(8.3145*(273.15+15))/3*12.011*10^6</f>
        <v>29.614081095906354</v>
      </c>
      <c r="AF14" s="54">
        <f>1.013*10^5*50*10^(-6)*(P14*10^(-6))/(8.3145*(273.15+15))/3*12.011*10^6</f>
        <v>42.914095243545852</v>
      </c>
      <c r="AG14" s="54">
        <f>1.013*10^5*50*10^(-6)*(Q14*10^(-6))/(8.3145*(273.15+15))/3*12.011*10^6</f>
        <v>55.845134558708097</v>
      </c>
      <c r="AH14" s="54">
        <f>1.013*10^5*50*10^(-6)*(R14*10^(-6))/(8.3145*(273.15+15))/3*12.011*10^6</f>
        <v>59.094421226314736</v>
      </c>
      <c r="AK14" s="54">
        <f>1.013*10^5*50*10^(-6)*(U14*10^(-6))/(8.3145*(273.15+15))/3*12.011*10^6</f>
        <v>6.4687723521722595E-5</v>
      </c>
      <c r="AL14" s="54">
        <f>1.013*10^5*50*10^(-6)*(V14*10^(-6))/(8.3145*(273.15+15))/3*12.011*10^6</f>
        <v>4.3712424913860761E-5</v>
      </c>
      <c r="AM14" s="54">
        <f>1.013*10^5*50*10^(-6)*(W14*10^(-6))/(8.3145*(273.15+15))/3*12.011*10^6</f>
        <v>6.8455119217539738E-5</v>
      </c>
      <c r="AN14" s="54">
        <f>1.013*10^5*50*10^(-6)*(X14*10^(-6))/(8.3145*(273.15+15))/3*12.011*10^6</f>
        <v>4.7288152885070643E-5</v>
      </c>
      <c r="AO14" s="54">
        <f>1.013*10^5*50*10^(-6)*(Y14*10^(-6))/(8.3145*(273.15+15))/3*12.011*10^6</f>
        <v>5.1620915429789437E-5</v>
      </c>
      <c r="AP14" s="54">
        <f>1.013*10^5*50*10^(-6)*(Z14*10^(-6))/(8.3145*(273.15+15))/3*12.011*10^6</f>
        <v>2.3780608440283443E-5</v>
      </c>
      <c r="AZ14">
        <v>12</v>
      </c>
      <c r="BA14">
        <f>C14-B14</f>
        <v>53.192267872905973</v>
      </c>
      <c r="BB14">
        <f>('7-24-13 Final'!S29-'7-24-13 Initial'!S29)*60</f>
        <v>116.00000000000364</v>
      </c>
      <c r="BC14">
        <f>BD14/60</f>
        <v>7.6425672231184346E-3</v>
      </c>
      <c r="BD14">
        <f>BA14/BB14</f>
        <v>0.4585540333871061</v>
      </c>
      <c r="BE14">
        <f>BD14/3</f>
        <v>0.1528513444623687</v>
      </c>
      <c r="BF14" s="48">
        <f>D14-B14</f>
        <v>2159.454281234976</v>
      </c>
      <c r="BG14">
        <f>('7-29-13 Final #2'!S29-'7-24-13 Initial'!S29)*60</f>
        <v>6969.0000000000055</v>
      </c>
      <c r="BH14">
        <f>BI14/60</f>
        <v>5.1644288545343048E-3</v>
      </c>
      <c r="BI14">
        <f>BF14/BG14</f>
        <v>0.3098657312720583</v>
      </c>
      <c r="BJ14">
        <f>BI14/3</f>
        <v>0.1032885770906861</v>
      </c>
      <c r="BK14" s="48">
        <f>G14-F14</f>
        <v>1339.3178690998332</v>
      </c>
      <c r="BL14">
        <f>60*('8-1-13 Final #1'!S29-'7-30-13 Initial + cap'!S29)</f>
        <v>2760</v>
      </c>
      <c r="BM14">
        <f>BN14/60</f>
        <v>8.0876682916656596E-3</v>
      </c>
      <c r="BN14">
        <f>BK14/BL14</f>
        <v>0.48526009749993954</v>
      </c>
      <c r="BO14">
        <f>BN14/3</f>
        <v>0.16175336583331318</v>
      </c>
      <c r="BP14" s="48">
        <f>H14-F14</f>
        <v>2910.6554685383826</v>
      </c>
      <c r="BQ14">
        <f>('8-5-13 final 1'!S29-'7-30-13 Initial + cap'!S29)*60</f>
        <v>8682.9999999999945</v>
      </c>
      <c r="BR14">
        <f>BS14/60</f>
        <v>5.5868852327121661E-3</v>
      </c>
      <c r="BS14">
        <f>BP14/BQ14</f>
        <v>0.33521311396272996</v>
      </c>
      <c r="BT14">
        <f>BS14/3</f>
        <v>0.11173770465424332</v>
      </c>
      <c r="BU14" s="48">
        <f>'8-8-13 Final'!U29-'8-5-13 initial'!U29</f>
        <v>1527.7448617856421</v>
      </c>
      <c r="BV14">
        <f>('8-8-13 Final'!S29-'8-5-13 initial'!S29)*60</f>
        <v>4175.0000000000018</v>
      </c>
      <c r="BW14">
        <f>BX14/60</f>
        <v>6.0987818833758145E-3</v>
      </c>
      <c r="BX14">
        <f>BU14/BV14</f>
        <v>0.36592691300254887</v>
      </c>
      <c r="BY14">
        <f>BX14/3</f>
        <v>0.12197563766751629</v>
      </c>
      <c r="BZ14" s="48">
        <v>1911.63364983409</v>
      </c>
      <c r="CA14">
        <v>11340</v>
      </c>
      <c r="CB14">
        <f>CC14/60</f>
        <v>2.8095732654822166E-3</v>
      </c>
      <c r="CC14">
        <v>0.168574395928933</v>
      </c>
      <c r="CD14">
        <v>5.6191465309644202E-2</v>
      </c>
    </row>
    <row r="15" spans="1:92">
      <c r="A15">
        <v>13</v>
      </c>
      <c r="B15">
        <v>836.97262487677199</v>
      </c>
      <c r="C15">
        <v>984.01005668053904</v>
      </c>
      <c r="D15">
        <v>2447.7283483301098</v>
      </c>
      <c r="F15">
        <v>948.68680006347699</v>
      </c>
      <c r="G15">
        <v>1758.53204955409</v>
      </c>
      <c r="H15">
        <v>3068.0247779506299</v>
      </c>
      <c r="I15">
        <v>815.34462046446299</v>
      </c>
      <c r="J15">
        <v>2391.9817143753098</v>
      </c>
      <c r="K15">
        <v>3594.7658753166602</v>
      </c>
      <c r="M15">
        <f>C15-B15</f>
        <v>147.03743180376705</v>
      </c>
      <c r="N15">
        <f>D15-B15</f>
        <v>1610.7557234533379</v>
      </c>
      <c r="O15">
        <f>(G15-F15)+N15</f>
        <v>2420.6009729439511</v>
      </c>
      <c r="P15">
        <f>(H15-F15)+N15</f>
        <v>3730.093701340491</v>
      </c>
      <c r="Q15">
        <f>(J15-I15)+P15</f>
        <v>5306.7307952513383</v>
      </c>
      <c r="R15">
        <f>(K15-J15)+Q15</f>
        <v>6509.5149561926883</v>
      </c>
      <c r="U15">
        <v>1.7380311087916499E-2</v>
      </c>
      <c r="V15">
        <v>3.8532982236575801E-3</v>
      </c>
      <c r="W15">
        <v>4.8903698640737504E-3</v>
      </c>
      <c r="X15">
        <v>4.0675149276200601E-3</v>
      </c>
      <c r="Y15">
        <v>6.2954683513450202E-3</v>
      </c>
      <c r="Z15">
        <v>4.08462107229256E-3</v>
      </c>
      <c r="AC15" s="54">
        <f>1.013*10^5*50*10^(-6)*(M15*10^(-6))/(8.3145*(273.15+15))/3*12.011*10^6</f>
        <v>1.2445447266847236</v>
      </c>
      <c r="AD15" s="54">
        <f>1.013*10^5*50*10^(-6)*(N15*10^(-6))/(8.3145*(273.15+15))/3*12.011*10^6</f>
        <v>13.633654485182118</v>
      </c>
      <c r="AE15" s="54">
        <f>1.013*10^5*50*10^(-6)*(O15*10^(-6))/(8.3145*(273.15+15))/3*12.011*10^6</f>
        <v>20.488294302540481</v>
      </c>
      <c r="AF15" s="54">
        <f>1.013*10^5*50*10^(-6)*(P15*10^(-6))/(8.3145*(273.15+15))/3*12.011*10^6</f>
        <v>31.572018016736582</v>
      </c>
      <c r="AG15" s="54">
        <f>1.013*10^5*50*10^(-6)*(Q15*10^(-6))/(8.3145*(273.15+15))/3*12.011*10^6</f>
        <v>44.916887802962009</v>
      </c>
      <c r="AH15" s="54">
        <f>1.013*10^5*50*10^(-6)*(R15*10^(-6))/(8.3145*(273.15+15))/3*12.011*10^6</f>
        <v>55.097415757484647</v>
      </c>
      <c r="AK15" s="54">
        <f>1.013*10^5*50*10^(-6)*(U15*10^(-6))/(8.3145*(273.15+15))/3*12.011*10^6</f>
        <v>1.47109305754702E-4</v>
      </c>
      <c r="AL15" s="54">
        <f>1.013*10^5*50*10^(-6)*(V15*10^(-6))/(8.3145*(273.15+15))/3*12.011*10^6</f>
        <v>3.2614837771355798E-5</v>
      </c>
      <c r="AM15" s="54">
        <f>1.013*10^5*50*10^(-6)*(W15*10^(-6))/(8.3145*(273.15+15))/3*12.011*10^6</f>
        <v>4.1392752520279983E-5</v>
      </c>
      <c r="AN15" s="54">
        <f>1.013*10^5*50*10^(-6)*(X15*10^(-6))/(8.3145*(273.15+15))/3*12.011*10^6</f>
        <v>3.442799695139431E-5</v>
      </c>
      <c r="AO15" s="54">
        <f>1.013*10^5*50*10^(-6)*(Y15*10^(-6))/(8.3145*(273.15+15))/3*12.011*10^6</f>
        <v>5.3285696319379573E-5</v>
      </c>
      <c r="AP15" s="54">
        <f>1.013*10^5*50*10^(-6)*(Z15*10^(-6))/(8.3145*(273.15+15))/3*12.011*10^6</f>
        <v>3.4572785675496064E-5</v>
      </c>
      <c r="AZ15">
        <v>13</v>
      </c>
      <c r="BA15">
        <f>C15-B15</f>
        <v>147.03743180376705</v>
      </c>
      <c r="BB15">
        <f>('7-24-13 Final'!S30-'7-24-13 Initial'!S30)*60</f>
        <v>140.99999999999454</v>
      </c>
      <c r="BC15">
        <f>BD15/60</f>
        <v>1.7380311087916399E-2</v>
      </c>
      <c r="BD15">
        <f>BA15/BB15</f>
        <v>1.042818665274984</v>
      </c>
      <c r="BE15">
        <f>BD15/3</f>
        <v>0.347606221758328</v>
      </c>
      <c r="BF15" s="48">
        <f>D15-B15</f>
        <v>1610.7557234533379</v>
      </c>
      <c r="BG15">
        <f>('7-29-13 Final #2'!S30-'7-24-13 Initial'!S30)*60</f>
        <v>6967</v>
      </c>
      <c r="BH15">
        <f>BI15/60</f>
        <v>3.853298223657571E-3</v>
      </c>
      <c r="BI15">
        <f>BF15/BG15</f>
        <v>0.23119789341945426</v>
      </c>
      <c r="BJ15">
        <f>BI15/3</f>
        <v>7.7065964473151422E-2</v>
      </c>
      <c r="BK15" s="48">
        <f>G15-F15</f>
        <v>809.84524949061301</v>
      </c>
      <c r="BL15">
        <f>60*('8-1-13 Final #1'!S30-'7-30-13 Initial + cap'!S30)</f>
        <v>2760</v>
      </c>
      <c r="BM15">
        <f>BN15/60</f>
        <v>4.8903698640737504E-3</v>
      </c>
      <c r="BN15">
        <f>BK15/BL15</f>
        <v>0.29342219184442503</v>
      </c>
      <c r="BO15">
        <f>BN15/3</f>
        <v>9.7807397281475014E-2</v>
      </c>
      <c r="BP15" s="48">
        <f>H15-F15</f>
        <v>2119.3379778871531</v>
      </c>
      <c r="BQ15">
        <f>('8-5-13 final 1'!S30-'7-30-13 Initial + cap'!S30)*60</f>
        <v>8684</v>
      </c>
      <c r="BR15">
        <f>BS15/60</f>
        <v>4.0675149276200541E-3</v>
      </c>
      <c r="BS15">
        <f>BP15/BQ15</f>
        <v>0.24405089565720325</v>
      </c>
      <c r="BT15">
        <f>BS15/3</f>
        <v>8.1350298552401085E-2</v>
      </c>
      <c r="BU15" s="48">
        <f>'8-8-13 Final'!U30-'8-5-13 initial'!U30</f>
        <v>1576.6370939108449</v>
      </c>
      <c r="BV15">
        <f>('8-8-13 Final'!S30-'8-5-13 initial'!S30)*60</f>
        <v>4173.9999999999964</v>
      </c>
      <c r="BW15">
        <f>BX15/60</f>
        <v>6.2954683513450184E-3</v>
      </c>
      <c r="BX15">
        <f>BU15/BV15</f>
        <v>0.3777281010807011</v>
      </c>
      <c r="BY15">
        <f>BX15/3</f>
        <v>0.12590936702690037</v>
      </c>
      <c r="BZ15" s="48">
        <v>2779.4212548522</v>
      </c>
      <c r="CA15">
        <v>11341</v>
      </c>
      <c r="CB15">
        <f>CC15/60</f>
        <v>4.084621072292567E-3</v>
      </c>
      <c r="CC15">
        <v>0.245077264337554</v>
      </c>
      <c r="CD15">
        <v>8.1692421445851301E-2</v>
      </c>
    </row>
    <row r="16" spans="1:92">
      <c r="A16">
        <v>14</v>
      </c>
      <c r="B16">
        <v>867.76157247600895</v>
      </c>
      <c r="C16">
        <v>1043.9853714733499</v>
      </c>
      <c r="D16">
        <v>2732.09762836255</v>
      </c>
      <c r="F16">
        <v>757.64321960913503</v>
      </c>
      <c r="G16">
        <v>2062.07931398135</v>
      </c>
      <c r="H16">
        <v>3551.95200100278</v>
      </c>
      <c r="I16">
        <v>950.16168671254695</v>
      </c>
      <c r="J16">
        <v>2750.4052883828199</v>
      </c>
      <c r="K16">
        <v>3959.1187920314401</v>
      </c>
      <c r="M16">
        <f>C16-B16</f>
        <v>176.22379899734096</v>
      </c>
      <c r="N16">
        <f>D16-B16</f>
        <v>1864.3360558865411</v>
      </c>
      <c r="O16">
        <f>(G16-F16)+N16</f>
        <v>3168.772150258756</v>
      </c>
      <c r="P16">
        <f>(H16-F16)+N16</f>
        <v>4658.644837280186</v>
      </c>
      <c r="Q16">
        <f>(J16-I16)+P16</f>
        <v>6458.8884389504592</v>
      </c>
      <c r="R16">
        <f>(K16-J16)+Q16</f>
        <v>7667.6019425990798</v>
      </c>
      <c r="U16">
        <v>2.1129951918145599E-2</v>
      </c>
      <c r="V16">
        <v>4.45992071165624E-3</v>
      </c>
      <c r="W16">
        <v>7.8770295553877503E-3</v>
      </c>
      <c r="X16">
        <v>5.3629448437617902E-3</v>
      </c>
      <c r="Y16">
        <v>7.1883229582745496E-3</v>
      </c>
      <c r="Z16">
        <v>4.4219456034431098E-3</v>
      </c>
      <c r="AC16" s="54">
        <f>1.013*10^5*50*10^(-6)*(M16*10^(-6))/(8.3145*(273.15+15))/3*12.011*10^6</f>
        <v>1.4915820894586005</v>
      </c>
      <c r="AD16" s="54">
        <f>1.013*10^5*50*10^(-6)*(N16*10^(-6))/(8.3145*(273.15+15))/3*12.011*10^6</f>
        <v>15.779992745101433</v>
      </c>
      <c r="AE16" s="54">
        <f>1.013*10^5*50*10^(-6)*(O16*10^(-6))/(8.3145*(273.15+15))/3*12.011*10^6</f>
        <v>26.820916424418339</v>
      </c>
      <c r="AF16" s="54">
        <f>1.013*10^5*50*10^(-6)*(P16*10^(-6))/(8.3145*(273.15+15))/3*12.011*10^6</f>
        <v>39.431400525764133</v>
      </c>
      <c r="AG16" s="54">
        <f>1.013*10^5*50*10^(-6)*(Q16*10^(-6))/(8.3145*(273.15+15))/3*12.011*10^6</f>
        <v>54.668906062427432</v>
      </c>
      <c r="AH16" s="54">
        <f>1.013*10^5*50*10^(-6)*(R16*10^(-6))/(8.3145*(273.15+15))/3*12.011*10^6</f>
        <v>64.899620776256953</v>
      </c>
      <c r="AK16" s="54">
        <f>1.013*10^5*50*10^(-6)*(U16*10^(-6))/(8.3145*(273.15+15))/3*12.011*10^6</f>
        <v>1.7884677331637223E-4</v>
      </c>
      <c r="AL16" s="54">
        <f>1.013*10^5*50*10^(-6)*(V16*10^(-6))/(8.3145*(273.15+15))/3*12.011*10^6</f>
        <v>3.7749372625954351E-5</v>
      </c>
      <c r="AM16" s="54">
        <f>1.013*10^5*50*10^(-6)*(W16*10^(-6))/(8.3145*(273.15+15))/3*12.011*10^6</f>
        <v>6.6672244440319306E-5</v>
      </c>
      <c r="AN16" s="54">
        <f>1.013*10^5*50*10^(-6)*(X16*10^(-6))/(8.3145*(273.15+15))/3*12.011*10^6</f>
        <v>4.539269111903631E-5</v>
      </c>
      <c r="AO16" s="54">
        <f>1.013*10^5*50*10^(-6)*(Y16*10^(-6))/(8.3145*(273.15+15))/3*12.011*10^6</f>
        <v>6.0842938574761766E-5</v>
      </c>
      <c r="AP16" s="54">
        <f>1.013*10^5*50*10^(-6)*(Z16*10^(-6))/(8.3145*(273.15+15))/3*12.011*10^6</f>
        <v>3.742794616949252E-5</v>
      </c>
      <c r="AZ16">
        <v>14</v>
      </c>
      <c r="BA16">
        <f>C16-B16</f>
        <v>176.22379899734096</v>
      </c>
      <c r="BB16">
        <f>('7-24-13 Final'!S31-'7-24-13 Initial'!S31)*60</f>
        <v>139.00000000000318</v>
      </c>
      <c r="BC16">
        <f>BD16/60</f>
        <v>2.1129951918145914E-2</v>
      </c>
      <c r="BD16">
        <f>BA16/BB16</f>
        <v>1.2677971150887548</v>
      </c>
      <c r="BE16">
        <f>BD16/3</f>
        <v>0.42259903836291829</v>
      </c>
      <c r="BF16" s="48">
        <f>D16-B16</f>
        <v>1864.3360558865411</v>
      </c>
      <c r="BG16">
        <f>('7-29-13 Final #2'!S31-'7-24-13 Initial'!S31)*60</f>
        <v>6967</v>
      </c>
      <c r="BH16">
        <f>BI16/60</f>
        <v>4.4599207116562392E-3</v>
      </c>
      <c r="BI16">
        <f>BF16/BG16</f>
        <v>0.26759524269937435</v>
      </c>
      <c r="BJ16">
        <f>BI16/3</f>
        <v>8.9198414233124787E-2</v>
      </c>
      <c r="BK16" s="48">
        <f>G16-F16</f>
        <v>1304.4360943722149</v>
      </c>
      <c r="BL16">
        <f>60*('8-1-13 Final #1'!S31-'7-30-13 Initial + cap'!S31)</f>
        <v>2760</v>
      </c>
      <c r="BM16">
        <f>BN16/60</f>
        <v>7.8770295553877712E-3</v>
      </c>
      <c r="BN16">
        <f>BK16/BL16</f>
        <v>0.47262177332326627</v>
      </c>
      <c r="BO16">
        <f>BN16/3</f>
        <v>0.15754059110775542</v>
      </c>
      <c r="BP16" s="48">
        <f>H16-F16</f>
        <v>2794.3087813936449</v>
      </c>
      <c r="BQ16">
        <f>('8-5-13 final 1'!S31-'7-30-13 Initial + cap'!S31)*60</f>
        <v>8684</v>
      </c>
      <c r="BR16">
        <f>BS16/60</f>
        <v>5.3629448437617936E-3</v>
      </c>
      <c r="BS16">
        <f>BP16/BQ16</f>
        <v>0.32177669062570763</v>
      </c>
      <c r="BT16">
        <f>BS16/3</f>
        <v>0.10725889687523588</v>
      </c>
      <c r="BU16" s="48">
        <f>'8-8-13 Final'!U31-'8-5-13 initial'!U31</f>
        <v>1800.2436016702763</v>
      </c>
      <c r="BV16">
        <f>('8-8-13 Final'!S31-'8-5-13 initial'!S31)*60</f>
        <v>4173.9999999999964</v>
      </c>
      <c r="BW16">
        <f>BX16/60</f>
        <v>7.1883229582745487E-3</v>
      </c>
      <c r="BX16">
        <f>BU16/BV16</f>
        <v>0.4312993774964729</v>
      </c>
      <c r="BY16">
        <f>BX16/3</f>
        <v>0.14376645916549097</v>
      </c>
      <c r="BZ16" s="48">
        <v>3008.9571053188902</v>
      </c>
      <c r="CA16">
        <v>11341</v>
      </c>
      <c r="CB16">
        <f>CC16/60</f>
        <v>4.4219456034431002E-3</v>
      </c>
      <c r="CC16">
        <v>0.26531673620658602</v>
      </c>
      <c r="CD16">
        <v>8.8438912068862105E-2</v>
      </c>
    </row>
    <row r="17" spans="1:82">
      <c r="A17" s="18">
        <v>85</v>
      </c>
      <c r="B17">
        <v>591.31322822601305</v>
      </c>
      <c r="C17">
        <v>604.02597887821605</v>
      </c>
      <c r="D17">
        <v>586.36204492039701</v>
      </c>
      <c r="F17">
        <v>747.01196953482395</v>
      </c>
      <c r="G17">
        <v>725.98976736263899</v>
      </c>
      <c r="H17">
        <v>1036.15166664155</v>
      </c>
      <c r="I17">
        <v>1029.0126042172001</v>
      </c>
      <c r="J17">
        <v>1309.3488162045701</v>
      </c>
      <c r="K17">
        <v>2427.60465127835</v>
      </c>
      <c r="M17">
        <f>C17-B17</f>
        <v>12.712750652202999</v>
      </c>
      <c r="N17">
        <f>D17-B17</f>
        <v>-4.9511833056160413</v>
      </c>
      <c r="O17">
        <f>(G17-F17)+N17</f>
        <v>-25.973385477801003</v>
      </c>
      <c r="P17">
        <f>(H17-F17)+N17</f>
        <v>284.18851380111005</v>
      </c>
      <c r="Q17">
        <f>(J17-I17)+P17</f>
        <v>564.52472578848005</v>
      </c>
      <c r="R17">
        <f>(K17-J17)+Q17</f>
        <v>1682.78056086226</v>
      </c>
      <c r="U17">
        <v>1.50268920238799E-3</v>
      </c>
      <c r="V17">
        <v>-1.18409702626309E-5</v>
      </c>
      <c r="W17">
        <v>-1.2694566529097099E-4</v>
      </c>
      <c r="X17">
        <v>5.5486412801136905E-4</v>
      </c>
      <c r="Y17">
        <v>1.1193747483923099E-3</v>
      </c>
      <c r="Z17">
        <v>2.05536261802478E-3</v>
      </c>
      <c r="AC17" s="54">
        <f>1.013*10^5*50*10^(-6)*(M17*10^(-6))/(8.3145*(273.15+15))/3*12.011*10^6</f>
        <v>0.10760244239692766</v>
      </c>
      <c r="AD17" s="54">
        <f>1.013*10^5*50*10^(-6)*(N17*10^(-6))/(8.3145*(273.15+15))/3*12.011*10^6</f>
        <v>-4.1907485721578104E-2</v>
      </c>
      <c r="AE17" s="54">
        <f>1.013*10^5*50*10^(-6)*(O17*10^(-6))/(8.3145*(273.15+15))/3*12.011*10^6</f>
        <v>-0.21984225060246637</v>
      </c>
      <c r="AF17" s="54">
        <f>1.013*10^5*50*10^(-6)*(P17*10^(-6))/(8.3145*(273.15+15))/3*12.011*10^6</f>
        <v>2.4054100503303202</v>
      </c>
      <c r="AG17" s="54">
        <f>1.013*10^5*50*10^(-6)*(Q17*10^(-6))/(8.3145*(273.15+15))/3*12.011*10^6</f>
        <v>4.7782136966377058</v>
      </c>
      <c r="AH17" s="54">
        <f>1.013*10^5*50*10^(-6)*(R17*10^(-6))/(8.3145*(273.15+15))/3*12.011*10^6</f>
        <v>14.243282458739408</v>
      </c>
      <c r="AK17" s="54">
        <f>1.013*10^5*50*10^(-6)*(U17*10^(-6))/(8.3145*(273.15+15))/3*12.011*10^6</f>
        <v>1.2718964822331272E-5</v>
      </c>
      <c r="AL17" s="54">
        <f>1.013*10^5*50*10^(-6)*(V17*10^(-6))/(8.3145*(273.15+15))/3*12.011*10^6</f>
        <v>-1.0022357516999535E-7</v>
      </c>
      <c r="AM17" s="54">
        <f>1.013*10^5*50*10^(-6)*(W17*10^(-6))/(8.3145*(273.15+15))/3*12.011*10^6</f>
        <v>-1.0744852951744379E-6</v>
      </c>
      <c r="AN17" s="54">
        <f>1.013*10^5*50*10^(-6)*(X17*10^(-6))/(8.3145*(273.15+15))/3*12.011*10^6</f>
        <v>4.6964450893338784E-6</v>
      </c>
      <c r="AO17" s="54">
        <f>1.013*10^5*50*10^(-6)*(Y17*10^(-6))/(8.3145*(273.15+15))/3*12.011*10^6</f>
        <v>9.4745393958927782E-6</v>
      </c>
      <c r="AP17" s="54">
        <f>1.013*10^5*50*10^(-6)*(Z17*10^(-6))/(8.3145*(273.15+15))/3*12.011*10^6</f>
        <v>1.7396867425578314E-5</v>
      </c>
      <c r="AZ17" s="18">
        <v>85</v>
      </c>
      <c r="BA17">
        <f>C17-B17</f>
        <v>12.712750652202999</v>
      </c>
      <c r="BB17">
        <f>('7-24-13 Final'!S32-'7-24-13 Initial'!S32)*60</f>
        <v>141.00000000000136</v>
      </c>
      <c r="BC17">
        <f>BD17/60</f>
        <v>1.5026892023880466E-3</v>
      </c>
      <c r="BD17">
        <f>BA17/BB17</f>
        <v>9.0161352143282802E-2</v>
      </c>
      <c r="BE17">
        <f>BD17/3</f>
        <v>3.0053784047760934E-2</v>
      </c>
      <c r="BF17" s="48">
        <f>D17-B17</f>
        <v>-4.9511833056160413</v>
      </c>
      <c r="BG17">
        <f>('7-29-13 Final #2'!S32-'7-24-13 Initial'!S32)*60</f>
        <v>6968.9999999999982</v>
      </c>
      <c r="BH17">
        <f>BI17/60</f>
        <v>-1.1840970262629843E-5</v>
      </c>
      <c r="BI17">
        <f>BF17/BG17</f>
        <v>-7.1045821575779061E-4</v>
      </c>
      <c r="BJ17">
        <f>BI17/3</f>
        <v>-2.3681940525259687E-4</v>
      </c>
      <c r="BK17" s="48">
        <f>G17-F17</f>
        <v>-21.022202172184961</v>
      </c>
      <c r="BL17">
        <f>60*('8-1-13 Final #1'!S32-'7-30-13 Initial + cap'!S32)</f>
        <v>2760</v>
      </c>
      <c r="BM17">
        <f>BN17/60</f>
        <v>-1.26945665290972E-4</v>
      </c>
      <c r="BN17">
        <f>BK17/BL17</f>
        <v>-7.6167399174583194E-3</v>
      </c>
      <c r="BO17">
        <f>BN17/3</f>
        <v>-2.5389133058194399E-3</v>
      </c>
      <c r="BP17" s="48">
        <f>H17-F17</f>
        <v>289.13969710672609</v>
      </c>
      <c r="BQ17">
        <f>('8-5-13 final 1'!S32-'7-30-13 Initial + cap'!S32)*60</f>
        <v>8685</v>
      </c>
      <c r="BR17">
        <f>BS17/60</f>
        <v>5.548641280113723E-4</v>
      </c>
      <c r="BS17">
        <f>BP17/BQ17</f>
        <v>3.3291847680682336E-2</v>
      </c>
      <c r="BT17">
        <f>BS17/3</f>
        <v>1.1097282560227446E-2</v>
      </c>
      <c r="BU17" s="48">
        <f>'8-8-13 Final'!U32-'8-5-13 initial'!U32</f>
        <v>280.33621198737001</v>
      </c>
      <c r="BV17">
        <f>('8-8-13 Final'!S32-'8-5-13 initial'!S32)*60</f>
        <v>4173.9999999999964</v>
      </c>
      <c r="BW17">
        <f>BX17/60</f>
        <v>1.1193747483923104E-3</v>
      </c>
      <c r="BX17">
        <f>BU17/BV17</f>
        <v>6.7162484903538627E-2</v>
      </c>
      <c r="BY17">
        <f>BX17/3</f>
        <v>2.238749496784621E-2</v>
      </c>
      <c r="BZ17" s="48">
        <v>1398.59204706114</v>
      </c>
      <c r="CA17">
        <v>11341</v>
      </c>
      <c r="CB17">
        <f>CC17/60</f>
        <v>2.0553626180247835E-3</v>
      </c>
      <c r="CC17">
        <v>0.123321757081487</v>
      </c>
      <c r="CD17">
        <v>4.1107252360495602E-2</v>
      </c>
    </row>
    <row r="18" spans="1:82">
      <c r="A18" s="18">
        <v>15</v>
      </c>
      <c r="B18">
        <v>1628.63254066377</v>
      </c>
      <c r="C18">
        <v>1675.4750408182599</v>
      </c>
      <c r="D18">
        <v>20618.203982012099</v>
      </c>
      <c r="F18">
        <v>982.16722374038295</v>
      </c>
      <c r="G18">
        <v>9778.6035763620403</v>
      </c>
      <c r="H18">
        <v>22788.8614862004</v>
      </c>
      <c r="I18">
        <v>1159.30711981064</v>
      </c>
      <c r="J18">
        <v>11750.1031458406</v>
      </c>
      <c r="K18">
        <v>21947.239108987302</v>
      </c>
      <c r="M18">
        <f>C18-B18</f>
        <v>46.842500154489926</v>
      </c>
      <c r="N18">
        <f>D18-B18</f>
        <v>18989.571441348329</v>
      </c>
      <c r="O18">
        <f>(G18-F18)+N18</f>
        <v>27786.007793969984</v>
      </c>
      <c r="P18">
        <f>(H18-F18)+N18</f>
        <v>40796.265703808342</v>
      </c>
      <c r="Q18">
        <f>(J18-I18)+P18</f>
        <v>51387.0617298383</v>
      </c>
      <c r="R18">
        <f>(K18-J18)+Q18</f>
        <v>61584.197692985006</v>
      </c>
      <c r="U18">
        <v>8.1323784990433093E-3</v>
      </c>
      <c r="V18">
        <v>4.5414386189669399E-2</v>
      </c>
      <c r="W18">
        <v>5.3118577008584897E-2</v>
      </c>
      <c r="X18">
        <v>4.1847427101247399E-2</v>
      </c>
      <c r="Y18">
        <v>4.2288755893746699E-2</v>
      </c>
      <c r="Z18">
        <v>3.05525161510533E-2</v>
      </c>
      <c r="AC18" s="54">
        <f>1.013*10^5*50*10^(-6)*(M18*10^(-6))/(8.3145*(273.15+15))/3*12.011*10^6</f>
        <v>0.39648126219860447</v>
      </c>
      <c r="AD18" s="54">
        <f>1.013*10^5*50*10^(-6)*(N18*10^(-6))/(8.3145*(273.15+15))/3*12.011*10^6</f>
        <v>160.7303032255995</v>
      </c>
      <c r="AE18" s="54">
        <f>1.013*10^5*50*10^(-6)*(O18*10^(-6))/(8.3145*(273.15+15))/3*12.011*10^6</f>
        <v>235.18453125430619</v>
      </c>
      <c r="AF18" s="54">
        <f>1.013*10^5*50*10^(-6)*(P18*10^(-6))/(8.3145*(273.15+15))/3*12.011*10^6</f>
        <v>345.30511535228499</v>
      </c>
      <c r="AG18" s="54">
        <f>1.013*10^5*50*10^(-6)*(Q18*10^(-6))/(8.3145*(273.15+15))/3*12.011*10^6</f>
        <v>434.94704655236063</v>
      </c>
      <c r="AH18" s="54">
        <f>1.013*10^5*50*10^(-6)*(R18*10^(-6))/(8.3145*(273.15+15))/3*12.011*10^6</f>
        <v>521.25698569192787</v>
      </c>
      <c r="AK18" s="54">
        <f>1.013*10^5*50*10^(-6)*(U18*10^(-6))/(8.3145*(273.15+15))/3*12.011*10^6</f>
        <v>6.8833552465034803E-5</v>
      </c>
      <c r="AL18" s="54">
        <f>1.013*10^5*50*10^(-6)*(V18*10^(-6))/(8.3145*(273.15+15))/3*12.011*10^6</f>
        <v>3.8439351228201034E-4</v>
      </c>
      <c r="AM18" s="54">
        <f>1.013*10^5*50*10^(-6)*(W18*10^(-6))/(8.3145*(273.15+15))/3*12.011*10^6</f>
        <v>4.4960282626030639E-4</v>
      </c>
      <c r="AN18" s="54">
        <f>1.013*10^5*50*10^(-6)*(X18*10^(-6))/(8.3145*(273.15+15))/3*12.011*10^6</f>
        <v>3.5420228771192765E-4</v>
      </c>
      <c r="AO18" s="54">
        <f>1.013*10^5*50*10^(-6)*(Y18*10^(-6))/(8.3145*(273.15+15))/3*12.011*10^6</f>
        <v>3.5793775435264107E-4</v>
      </c>
      <c r="AP18" s="54">
        <f>1.013*10^5*50*10^(-6)*(Z18*10^(-6))/(8.3145*(273.15+15))/3*12.011*10^6</f>
        <v>2.5860063248036869E-4</v>
      </c>
      <c r="AZ18" s="18">
        <v>15</v>
      </c>
      <c r="BA18">
        <f>C18-B18</f>
        <v>46.842500154489926</v>
      </c>
      <c r="BB18">
        <f>('7-24-13 Final'!S33-'7-24-13 Initial'!S33)*60</f>
        <v>96.000000000001364</v>
      </c>
      <c r="BC18">
        <f>BD18/60</f>
        <v>8.1323784990432746E-3</v>
      </c>
      <c r="BD18">
        <f>BA18/BB18</f>
        <v>0.48794270994259648</v>
      </c>
      <c r="BE18">
        <f>BD18/3</f>
        <v>0.16264756998086549</v>
      </c>
      <c r="BF18" s="48">
        <f>D18-B18</f>
        <v>18989.571441348329</v>
      </c>
      <c r="BG18">
        <f>('7-29-13 Final #2'!S33-'7-24-13 Initial'!S33)*60</f>
        <v>6968.9999999999982</v>
      </c>
      <c r="BH18">
        <f>BI18/60</f>
        <v>4.541438618966933E-2</v>
      </c>
      <c r="BI18">
        <f>BF18/BG18</f>
        <v>2.7248631713801599</v>
      </c>
      <c r="BJ18">
        <f>BI18/3</f>
        <v>0.90828772379338663</v>
      </c>
      <c r="BK18" s="48">
        <f>G18-F18</f>
        <v>8796.4363526216566</v>
      </c>
      <c r="BL18">
        <f>60*('8-1-13 Final #1'!S33-'7-30-13 Initial + cap'!S33)</f>
        <v>2760</v>
      </c>
      <c r="BM18">
        <f>BN18/60</f>
        <v>5.3118577008584883E-2</v>
      </c>
      <c r="BN18">
        <f>BK18/BL18</f>
        <v>3.1871146205150929</v>
      </c>
      <c r="BO18">
        <f>BN18/3</f>
        <v>1.0623715401716975</v>
      </c>
      <c r="BP18" s="48">
        <f>H18-F18</f>
        <v>21806.694262460016</v>
      </c>
      <c r="BQ18">
        <f>('8-5-13 final 1'!S33-'7-30-13 Initial + cap'!S33)*60</f>
        <v>8685</v>
      </c>
      <c r="BR18">
        <f>BS18/60</f>
        <v>4.1847427101247399E-2</v>
      </c>
      <c r="BS18">
        <f>BP18/BQ18</f>
        <v>2.5108456260748437</v>
      </c>
      <c r="BT18">
        <f>BS18/3</f>
        <v>0.83694854202494795</v>
      </c>
      <c r="BU18" s="48">
        <f>'8-8-13 Final'!U33-'8-5-13 initial'!U33</f>
        <v>10590.796026029933</v>
      </c>
      <c r="BV18">
        <f>('8-8-13 Final'!S33-'8-5-13 initial'!S33)*60</f>
        <v>4174.0000000000036</v>
      </c>
      <c r="BW18">
        <f>BX18/60</f>
        <v>4.2288755893746699E-2</v>
      </c>
      <c r="BX18">
        <f>BU18/BV18</f>
        <v>2.5373253536248019</v>
      </c>
      <c r="BY18">
        <f>BX18/3</f>
        <v>0.84577511787493398</v>
      </c>
      <c r="BZ18" s="48">
        <v>20787.931989176701</v>
      </c>
      <c r="CA18">
        <v>11340</v>
      </c>
      <c r="CB18">
        <f>CC18/60</f>
        <v>3.0552516151053331E-2</v>
      </c>
      <c r="CC18">
        <v>1.8331509690632</v>
      </c>
      <c r="CD18">
        <v>0.61105032302106699</v>
      </c>
    </row>
    <row r="19" spans="1:82">
      <c r="A19" s="18">
        <v>16</v>
      </c>
      <c r="B19">
        <v>1640.81163421472</v>
      </c>
      <c r="C19">
        <v>1732.74774906687</v>
      </c>
      <c r="D19">
        <v>19275.345285539901</v>
      </c>
      <c r="F19">
        <v>3262.3188201145399</v>
      </c>
      <c r="G19">
        <v>14151.141019930001</v>
      </c>
      <c r="H19">
        <v>29358.9694743406</v>
      </c>
      <c r="I19">
        <v>1922.2887298954199</v>
      </c>
      <c r="J19">
        <v>13641.364382280601</v>
      </c>
      <c r="K19">
        <v>22535.399540160801</v>
      </c>
      <c r="M19">
        <f>C19-B19</f>
        <v>91.936114852150013</v>
      </c>
      <c r="N19">
        <f>D19-B19</f>
        <v>17634.533651325182</v>
      </c>
      <c r="O19">
        <f>(G19-F19)+N19</f>
        <v>28523.355851140645</v>
      </c>
      <c r="P19">
        <f>(H19-F19)+N19</f>
        <v>43731.184305551244</v>
      </c>
      <c r="Q19">
        <f>(J19-I19)+P19</f>
        <v>55450.259957936425</v>
      </c>
      <c r="R19">
        <f>(K19-J19)+Q19</f>
        <v>64344.295115816625</v>
      </c>
      <c r="U19">
        <v>1.5961131050720799E-2</v>
      </c>
      <c r="V19">
        <v>4.2173754367736203E-2</v>
      </c>
      <c r="W19">
        <v>6.5753757245262598E-2</v>
      </c>
      <c r="X19">
        <v>5.0074162741242802E-2</v>
      </c>
      <c r="Y19">
        <v>4.6141726326424201E-2</v>
      </c>
      <c r="Z19">
        <v>3.0298249125827299E-2</v>
      </c>
      <c r="AC19" s="54">
        <f>1.013*10^5*50*10^(-6)*(M19*10^(-6))/(8.3145*(273.15+15))/3*12.011*10^6</f>
        <v>0.7781597211506317</v>
      </c>
      <c r="AD19" s="54">
        <f>1.013*10^5*50*10^(-6)*(N19*10^(-6))/(8.3145*(273.15+15))/3*12.011*10^6</f>
        <v>149.26107994453409</v>
      </c>
      <c r="AE19" s="54">
        <f>1.013*10^5*50*10^(-6)*(O19*10^(-6))/(8.3145*(273.15+15))/3*12.011*10^6</f>
        <v>241.42554502219946</v>
      </c>
      <c r="AF19" s="54">
        <f>1.013*10^5*50*10^(-6)*(P19*10^(-6))/(8.3145*(273.15+15))/3*12.011*10^6</f>
        <v>370.1466636862001</v>
      </c>
      <c r="AG19" s="54">
        <f>1.013*10^5*50*10^(-6)*(Q19*10^(-6))/(8.3145*(273.15+15))/3*12.011*10^6</f>
        <v>469.33850637466605</v>
      </c>
      <c r="AH19" s="54">
        <f>1.013*10^5*50*10^(-6)*(R19*10^(-6))/(8.3145*(273.15+15))/3*12.011*10^6</f>
        <v>544.61882390265998</v>
      </c>
      <c r="AK19" s="54">
        <f>1.013*10^5*50*10^(-6)*(U19*10^(-6))/(8.3145*(273.15+15))/3*12.011*10^6</f>
        <v>1.3509717381087618E-4</v>
      </c>
      <c r="AL19" s="54">
        <f>1.013*10^5*50*10^(-6)*(V19*10^(-6))/(8.3145*(273.15+15))/3*12.011*10^6</f>
        <v>3.5696436586916925E-4</v>
      </c>
      <c r="AM19" s="54">
        <f>1.013*10^5*50*10^(-6)*(W19*10^(-6))/(8.3145*(273.15+15))/3*12.011*10^6</f>
        <v>5.5654870215981599E-4</v>
      </c>
      <c r="AN19" s="54">
        <f>1.013*10^5*50*10^(-6)*(X19*10^(-6))/(8.3145*(273.15+15))/3*12.011*10^6</f>
        <v>4.2383449179074815E-4</v>
      </c>
      <c r="AO19" s="54">
        <f>1.013*10^5*50*10^(-6)*(Y19*10^(-6))/(8.3145*(273.15+15))/3*12.011*10^6</f>
        <v>3.9054981765676962E-4</v>
      </c>
      <c r="AP19" s="54">
        <f>1.013*10^5*50*10^(-6)*(Z19*10^(-6))/(8.3145*(273.15+15))/3*12.011*10^6</f>
        <v>2.5644848195969616E-4</v>
      </c>
      <c r="AZ19" s="18">
        <v>16</v>
      </c>
      <c r="BA19">
        <f>C19-B19</f>
        <v>91.936114852150013</v>
      </c>
      <c r="BB19">
        <f>('7-24-13 Final'!S34-'7-24-13 Initial'!S34)*60</f>
        <v>96.000000000001364</v>
      </c>
      <c r="BC19">
        <f>BD19/60</f>
        <v>1.5961131050720261E-2</v>
      </c>
      <c r="BD19">
        <f>BA19/BB19</f>
        <v>0.95766786304321572</v>
      </c>
      <c r="BE19">
        <f>BD19/3</f>
        <v>0.31922262101440524</v>
      </c>
      <c r="BF19" s="48">
        <f>D19-B19</f>
        <v>17634.533651325182</v>
      </c>
      <c r="BG19">
        <f>('7-29-13 Final #2'!S34-'7-24-13 Initial'!S34)*60</f>
        <v>6968.9999999999982</v>
      </c>
      <c r="BH19">
        <f>BI19/60</f>
        <v>4.2173754367736134E-2</v>
      </c>
      <c r="BI19">
        <f>BF19/BG19</f>
        <v>2.5304252620641678</v>
      </c>
      <c r="BJ19">
        <f>BI19/3</f>
        <v>0.84347508735472265</v>
      </c>
      <c r="BK19" s="48">
        <f>G19-F19</f>
        <v>10888.82219981546</v>
      </c>
      <c r="BL19">
        <f>60*('8-1-13 Final #1'!S34-'7-30-13 Initial + cap'!S34)</f>
        <v>2760</v>
      </c>
      <c r="BM19">
        <f>BN19/60</f>
        <v>6.5753757245262445E-2</v>
      </c>
      <c r="BN19">
        <f>BK19/BL19</f>
        <v>3.9452254347157467</v>
      </c>
      <c r="BO19">
        <f>BN19/3</f>
        <v>1.3150751449052489</v>
      </c>
      <c r="BP19" s="48">
        <f>H19-F19</f>
        <v>26096.650654226061</v>
      </c>
      <c r="BQ19">
        <f>('8-5-13 final 1'!S34-'7-30-13 Initial + cap'!S34)*60</f>
        <v>8686</v>
      </c>
      <c r="BR19">
        <f>BS19/60</f>
        <v>5.0074162741242732E-2</v>
      </c>
      <c r="BS19">
        <f>BP19/BQ19</f>
        <v>3.0044497644745638</v>
      </c>
      <c r="BT19">
        <f>BS19/3</f>
        <v>1.0014832548248547</v>
      </c>
      <c r="BU19" s="48">
        <f>'8-8-13 Final'!U34-'8-5-13 initial'!U34</f>
        <v>11719.075652385216</v>
      </c>
      <c r="BV19">
        <f>('8-8-13 Final'!S34-'8-5-13 initial'!S34)*60</f>
        <v>4233.0000000000036</v>
      </c>
      <c r="BW19">
        <f>BX19/60</f>
        <v>4.6141726326424146E-2</v>
      </c>
      <c r="BX19">
        <f>BU19/BV19</f>
        <v>2.7685035795854489</v>
      </c>
      <c r="BY19">
        <f>BX19/3</f>
        <v>0.92283452652848297</v>
      </c>
      <c r="BZ19" s="48">
        <v>20613.1108102654</v>
      </c>
      <c r="CA19">
        <v>11339</v>
      </c>
      <c r="CB19">
        <f>CC19/60</f>
        <v>3.0298249125827334E-2</v>
      </c>
      <c r="CC19">
        <v>1.81789494754964</v>
      </c>
      <c r="CD19">
        <v>0.60596498251654696</v>
      </c>
    </row>
    <row r="20" spans="1:82">
      <c r="A20">
        <v>17</v>
      </c>
      <c r="B20">
        <v>1541.07738536742</v>
      </c>
      <c r="C20">
        <v>2715.5093869974098</v>
      </c>
      <c r="D20">
        <v>19173.622209222802</v>
      </c>
      <c r="F20">
        <v>11708.117089098199</v>
      </c>
      <c r="G20">
        <v>8931.2075610739794</v>
      </c>
      <c r="H20">
        <v>13689.6765455569</v>
      </c>
      <c r="I20">
        <v>1225.76586862861</v>
      </c>
      <c r="J20">
        <v>10826.961658865799</v>
      </c>
      <c r="K20">
        <v>16315.1276537139</v>
      </c>
      <c r="M20">
        <f>C20-B20</f>
        <v>1174.4320016299898</v>
      </c>
      <c r="N20">
        <f>D20-B20</f>
        <v>17632.54482385538</v>
      </c>
      <c r="O20">
        <f>(G20-F20)+N20</f>
        <v>14855.63529583116</v>
      </c>
      <c r="P20">
        <f>(H20-F20)+N20</f>
        <v>19614.104280314081</v>
      </c>
      <c r="Q20">
        <f>(J20-I20)+P20</f>
        <v>29215.300070551268</v>
      </c>
      <c r="R20">
        <f>(K20-J20)+Q20</f>
        <v>34703.466065399371</v>
      </c>
      <c r="U20">
        <v>0.14081918484771799</v>
      </c>
      <c r="V20">
        <v>4.2168998000323803E-2</v>
      </c>
      <c r="W20">
        <v>-1.6768777343141701E-2</v>
      </c>
      <c r="X20">
        <v>3.8017717210748802E-3</v>
      </c>
      <c r="Y20">
        <v>3.8346496486289502E-2</v>
      </c>
      <c r="Z20">
        <v>2.2179148345070499E-2</v>
      </c>
      <c r="AC20" s="54">
        <f>1.013*10^5*50*10^(-6)*(M20*10^(-6))/(8.3145*(273.15+15))/3*12.011*10^6</f>
        <v>9.9405514401873685</v>
      </c>
      <c r="AD20" s="54">
        <f>1.013*10^5*50*10^(-6)*(N20*10^(-6))/(8.3145*(273.15+15))/3*12.011*10^6</f>
        <v>149.24424623960971</v>
      </c>
      <c r="AE20" s="54">
        <f>1.013*10^5*50*10^(-6)*(O20*10^(-6))/(8.3145*(273.15+15))/3*12.011*10^6</f>
        <v>125.74010809473656</v>
      </c>
      <c r="AF20" s="54">
        <f>1.013*10^5*50*10^(-6)*(P20*10^(-6))/(8.3145*(273.15+15))/3*12.011*10^6</f>
        <v>166.0164337152396</v>
      </c>
      <c r="AG20" s="54">
        <f>1.013*10^5*50*10^(-6)*(Q20*10^(-6))/(8.3145*(273.15+15))/3*12.011*10^6</f>
        <v>247.28225456114694</v>
      </c>
      <c r="AH20" s="54">
        <f>1.013*10^5*50*10^(-6)*(R20*10^(-6))/(8.3145*(273.15+15))/3*12.011*10^6</f>
        <v>293.73483445368856</v>
      </c>
      <c r="AK20" s="54">
        <f>1.013*10^5*50*10^(-6)*(U20*10^(-6))/(8.3145*(273.15+15))/3*12.011*10^6</f>
        <v>1.1919126427082953E-3</v>
      </c>
      <c r="AL20" s="54">
        <f>1.013*10^5*50*10^(-6)*(V20*10^(-6))/(8.3145*(273.15+15))/3*12.011*10^6</f>
        <v>3.5692410733153927E-4</v>
      </c>
      <c r="AM20" s="54">
        <f>1.013*10^5*50*10^(-6)*(W20*10^(-6))/(8.3145*(273.15+15))/3*12.011*10^6</f>
        <v>-1.4193320135793208E-4</v>
      </c>
      <c r="AN20" s="54">
        <f>1.013*10^5*50*10^(-6)*(X20*10^(-6))/(8.3145*(273.15+15))/3*12.011*10^6</f>
        <v>3.2178710478549239E-5</v>
      </c>
      <c r="AO20" s="54">
        <f>1.013*10^5*50*10^(-6)*(Y20*10^(-6))/(8.3145*(273.15+15))/3*12.011*10^6</f>
        <v>3.2456993707926838E-4</v>
      </c>
      <c r="AP20" s="54">
        <f>1.013*10^5*50*10^(-6)*(Z20*10^(-6))/(8.3145*(273.15+15))/3*12.011*10^6</f>
        <v>1.8772731389959252E-4</v>
      </c>
      <c r="AZ20">
        <v>17</v>
      </c>
      <c r="BA20">
        <f>C20-B20</f>
        <v>1174.4320016299898</v>
      </c>
      <c r="BB20">
        <f>('7-24-13 Final'!S35-'7-24-13 Initial'!S35)*60</f>
        <v>139.00000000000318</v>
      </c>
      <c r="BC20">
        <f>BD20/60</f>
        <v>0.14081918484771735</v>
      </c>
      <c r="BD20">
        <f>BA20/BB20</f>
        <v>8.4491510908630421</v>
      </c>
      <c r="BE20">
        <f>BD20/3</f>
        <v>2.8163836969543472</v>
      </c>
      <c r="BF20" s="48">
        <f>D20-B20</f>
        <v>17632.54482385538</v>
      </c>
      <c r="BG20">
        <f>('7-29-13 Final #2'!S35-'7-24-13 Initial'!S35)*60</f>
        <v>6969.0000000000055</v>
      </c>
      <c r="BH20">
        <f>BI20/60</f>
        <v>4.2168998000323733E-2</v>
      </c>
      <c r="BI20">
        <f>BF20/BG20</f>
        <v>2.5301398800194241</v>
      </c>
      <c r="BJ20">
        <f>BI20/3</f>
        <v>0.84337996000647475</v>
      </c>
      <c r="BK20" s="48">
        <f>G20-F20</f>
        <v>-2776.90952802422</v>
      </c>
      <c r="BL20">
        <f>60*('8-1-13 Final #1'!S35-'7-30-13 Initial + cap'!S35)</f>
        <v>2760</v>
      </c>
      <c r="BM20">
        <f>BN20/60</f>
        <v>-1.6768777343141424E-2</v>
      </c>
      <c r="BN20">
        <f>BK20/BL20</f>
        <v>-1.0061266405884854</v>
      </c>
      <c r="BO20">
        <f>BN20/3</f>
        <v>-0.3353755468628285</v>
      </c>
      <c r="BP20" s="48">
        <f>H20-F20</f>
        <v>1981.5594564587009</v>
      </c>
      <c r="BQ20">
        <f>('8-5-13 final 1'!S35-'7-30-13 Initial + cap'!S35)*60</f>
        <v>8687.0000000000055</v>
      </c>
      <c r="BR20">
        <f>BS20/60</f>
        <v>3.8017717210749773E-3</v>
      </c>
      <c r="BS20">
        <f>BP20/BQ20</f>
        <v>0.22810630326449863</v>
      </c>
      <c r="BT20">
        <f>BS20/3</f>
        <v>7.6035434421499543E-2</v>
      </c>
      <c r="BU20" s="48">
        <f>'8-8-13 Final'!U35-'8-5-13 initial'!U35</f>
        <v>9601.1957902371578</v>
      </c>
      <c r="BV20">
        <f>('8-8-13 Final'!S35-'8-5-13 initial'!S35)*60</f>
        <v>4172.9999999999973</v>
      </c>
      <c r="BW20">
        <f>BX20/60</f>
        <v>3.8346496486289496E-2</v>
      </c>
      <c r="BX20">
        <f>BU20/BV20</f>
        <v>2.3007897891773696</v>
      </c>
      <c r="BY20">
        <f>BX20/3</f>
        <v>0.76692992972578988</v>
      </c>
      <c r="BZ20" s="48">
        <v>15089.361785085301</v>
      </c>
      <c r="CA20">
        <v>11339</v>
      </c>
      <c r="CB20">
        <f>CC20/60</f>
        <v>2.2179148345070499E-2</v>
      </c>
      <c r="CC20">
        <v>1.3307489007042299</v>
      </c>
      <c r="CD20">
        <v>0.44358296690141102</v>
      </c>
    </row>
    <row r="21" spans="1:82">
      <c r="A21" s="18">
        <v>18</v>
      </c>
      <c r="B21">
        <v>1792.03813258234</v>
      </c>
      <c r="C21">
        <v>2129.4927136944498</v>
      </c>
      <c r="D21">
        <v>22432.371771161401</v>
      </c>
      <c r="F21">
        <v>1789.42284706803</v>
      </c>
      <c r="G21">
        <v>12181.2228133846</v>
      </c>
      <c r="H21">
        <v>24946.0394601798</v>
      </c>
      <c r="I21">
        <v>2131.1045425574998</v>
      </c>
      <c r="J21">
        <v>15849.133417803199</v>
      </c>
      <c r="K21">
        <v>22426.5870297601</v>
      </c>
      <c r="M21">
        <f>C21-B21</f>
        <v>337.45458111210974</v>
      </c>
      <c r="N21">
        <f>D21-B21</f>
        <v>20640.333638579061</v>
      </c>
      <c r="O21">
        <f>(G21-F21)+N21</f>
        <v>31032.133604895629</v>
      </c>
      <c r="P21">
        <f>(H21-F21)+N21</f>
        <v>43796.950251690832</v>
      </c>
      <c r="Q21">
        <f>(J21-I21)+P21</f>
        <v>57514.979126936531</v>
      </c>
      <c r="R21">
        <f>(K21-J21)+Q21</f>
        <v>64092.432738893433</v>
      </c>
      <c r="U21">
        <v>4.0462179989462402E-2</v>
      </c>
      <c r="V21">
        <v>4.9362255796094802E-2</v>
      </c>
      <c r="W21">
        <v>6.2752415255534696E-2</v>
      </c>
      <c r="X21">
        <v>4.4427720757284399E-2</v>
      </c>
      <c r="Y21">
        <v>5.4801968980687399E-2</v>
      </c>
      <c r="Z21">
        <v>2.9834013181634901E-2</v>
      </c>
      <c r="AC21" s="54">
        <f>1.013*10^5*50*10^(-6)*(M21*10^(-6))/(8.3145*(273.15+15))/3*12.011*10^6</f>
        <v>2.8562612544754664</v>
      </c>
      <c r="AD21" s="54">
        <f>1.013*10^5*50*10^(-6)*(N21*10^(-6))/(8.3145*(273.15+15))/3*12.011*10^6</f>
        <v>174.70257792035764</v>
      </c>
      <c r="AE21" s="54">
        <f>1.013*10^5*50*10^(-6)*(O21*10^(-6))/(8.3145*(273.15+15))/3*12.011*10^6</f>
        <v>262.66017953367975</v>
      </c>
      <c r="AF21" s="54">
        <f>1.013*10^5*50*10^(-6)*(P21*10^(-6))/(8.3145*(273.15+15))/3*12.011*10^6</f>
        <v>370.70331555681145</v>
      </c>
      <c r="AG21" s="54">
        <f>1.013*10^5*50*10^(-6)*(Q21*10^(-6))/(8.3145*(273.15+15))/3*12.011*10^6</f>
        <v>486.81456891426041</v>
      </c>
      <c r="AH21" s="54">
        <f>1.013*10^5*50*10^(-6)*(R21*10^(-6))/(8.3145*(273.15+15))/3*12.011*10^6</f>
        <v>542.48702665073063</v>
      </c>
      <c r="AK21" s="54">
        <f>1.013*10^5*50*10^(-6)*(U21*10^(-6))/(8.3145*(273.15+15))/3*12.011*10^6</f>
        <v>3.4247736864214903E-4</v>
      </c>
      <c r="AL21" s="54">
        <f>1.013*10^5*50*10^(-6)*(V21*10^(-6))/(8.3145*(273.15+15))/3*12.011*10^6</f>
        <v>4.1780881503888126E-4</v>
      </c>
      <c r="AM21" s="54">
        <f>1.013*10^5*50*10^(-6)*(W21*10^(-6))/(8.3145*(273.15+15))/3*12.011*10^6</f>
        <v>5.3114493727851456E-4</v>
      </c>
      <c r="AN21" s="54">
        <f>1.013*10^5*50*10^(-6)*(X21*10^(-6))/(8.3145*(273.15+15))/3*12.011*10^6</f>
        <v>3.7604224250115852E-4</v>
      </c>
      <c r="AO21" s="54">
        <f>1.013*10^5*50*10^(-6)*(Y21*10^(-6))/(8.3145*(273.15+15))/3*12.011*10^6</f>
        <v>4.6385128378654763E-4</v>
      </c>
      <c r="AP21" s="54">
        <f>1.013*10^5*50*10^(-6)*(Z21*10^(-6))/(8.3145*(273.15+15))/3*12.011*10^6</f>
        <v>2.5251912608619843E-4</v>
      </c>
      <c r="AZ21" s="18">
        <v>18</v>
      </c>
      <c r="BA21">
        <f>C21-B21</f>
        <v>337.45458111210974</v>
      </c>
      <c r="BB21">
        <f>('7-24-13 Final'!S36-'7-24-13 Initial'!S36)*60</f>
        <v>138.99999999999636</v>
      </c>
      <c r="BC21">
        <f>BD21/60</f>
        <v>4.0462179989462659E-2</v>
      </c>
      <c r="BD21">
        <f>BA21/BB21</f>
        <v>2.4277307993677595</v>
      </c>
      <c r="BE21">
        <f>BD21/3</f>
        <v>0.8092435997892532</v>
      </c>
      <c r="BF21" s="48">
        <f>D21-B21</f>
        <v>20640.333638579061</v>
      </c>
      <c r="BG21">
        <f>('7-29-13 Final #2'!S36-'7-24-13 Initial'!S36)*60</f>
        <v>6968.9999999999982</v>
      </c>
      <c r="BH21">
        <f>BI21/60</f>
        <v>4.9362255796094767E-2</v>
      </c>
      <c r="BI21">
        <f>BF21/BG21</f>
        <v>2.961735347765686</v>
      </c>
      <c r="BJ21">
        <f>BI21/3</f>
        <v>0.98724511592189534</v>
      </c>
      <c r="BK21" s="48">
        <f>G21-F21</f>
        <v>10391.79996631657</v>
      </c>
      <c r="BL21">
        <f>60*('8-1-13 Final #1'!S36-'7-30-13 Initial + cap'!S36)</f>
        <v>2760</v>
      </c>
      <c r="BM21">
        <f>BN21/60</f>
        <v>6.2752415255534849E-2</v>
      </c>
      <c r="BN21">
        <f>BK21/BL21</f>
        <v>3.7651449153320908</v>
      </c>
      <c r="BO21">
        <f>BN21/3</f>
        <v>1.2550483051106969</v>
      </c>
      <c r="BP21" s="48">
        <f>H21-F21</f>
        <v>23156.616613111772</v>
      </c>
      <c r="BQ21">
        <f>('8-5-13 final 1'!S36-'7-30-13 Initial + cap'!S36)*60</f>
        <v>8687.0000000000055</v>
      </c>
      <c r="BR21">
        <f>BS21/60</f>
        <v>4.4427720757284371E-2</v>
      </c>
      <c r="BS21">
        <f>BP21/BQ21</f>
        <v>2.6656632454370621</v>
      </c>
      <c r="BT21">
        <f>BS21/3</f>
        <v>0.88855441514568734</v>
      </c>
      <c r="BU21" s="48">
        <f>'8-8-13 Final'!U36-'8-5-13 initial'!U36</f>
        <v>13718.028875245654</v>
      </c>
      <c r="BV21">
        <f>('8-8-13 Final'!S36-'8-5-13 initial'!S36)*60</f>
        <v>4171.9999999999982</v>
      </c>
      <c r="BW21">
        <f>BX21/60</f>
        <v>5.4801968980687364E-2</v>
      </c>
      <c r="BX21">
        <f>BU21/BV21</f>
        <v>3.2881181388412419</v>
      </c>
      <c r="BY21">
        <f>BX21/3</f>
        <v>1.0960393796137473</v>
      </c>
      <c r="BZ21" s="48">
        <v>20295.4824872026</v>
      </c>
      <c r="CA21">
        <v>11338</v>
      </c>
      <c r="CB21">
        <f>CC21/60</f>
        <v>2.9834013181634832E-2</v>
      </c>
      <c r="CC21">
        <v>1.79004079089809</v>
      </c>
      <c r="CD21">
        <v>0.59668026363269699</v>
      </c>
    </row>
    <row r="22" spans="1:82">
      <c r="A22" s="18">
        <v>19</v>
      </c>
      <c r="B22">
        <v>1739.94403685355</v>
      </c>
      <c r="C22">
        <v>2228.1702239484798</v>
      </c>
      <c r="D22">
        <v>21872.2124255698</v>
      </c>
      <c r="F22">
        <v>1510.8566234976599</v>
      </c>
      <c r="G22">
        <v>10989.479342397801</v>
      </c>
      <c r="H22">
        <v>29597.247370139699</v>
      </c>
      <c r="I22">
        <v>2082.2762190465</v>
      </c>
      <c r="J22">
        <v>12903.3998145068</v>
      </c>
      <c r="K22">
        <v>23054.109241039201</v>
      </c>
      <c r="M22">
        <f>C22-B22</f>
        <v>488.22618709492986</v>
      </c>
      <c r="N22">
        <f>D22-B22</f>
        <v>20132.268388716249</v>
      </c>
      <c r="O22">
        <f>(G22-F22)+N22</f>
        <v>29610.891107616389</v>
      </c>
      <c r="P22">
        <f>(H22-F22)+N22</f>
        <v>48218.659135358292</v>
      </c>
      <c r="Q22">
        <f>(J22-I22)+P22</f>
        <v>59039.782730818595</v>
      </c>
      <c r="R22">
        <f>(K22-J22)+Q22</f>
        <v>69190.492157350993</v>
      </c>
      <c r="U22">
        <v>5.8540310203229903E-2</v>
      </c>
      <c r="V22">
        <v>4.8147195649103802E-2</v>
      </c>
      <c r="W22">
        <v>5.7238059896739898E-2</v>
      </c>
      <c r="X22">
        <v>5.22556946242504E-2</v>
      </c>
      <c r="Y22">
        <v>4.32395252755544E-2</v>
      </c>
      <c r="Z22">
        <v>3.0833675932122901E-2</v>
      </c>
      <c r="AC22" s="54">
        <f>1.013*10^5*50*10^(-6)*(M22*10^(-6))/(8.3145*(273.15+15))/3*12.011*10^6</f>
        <v>4.1324125368926445</v>
      </c>
      <c r="AD22" s="54">
        <f>1.013*10^5*50*10^(-6)*(N22*10^(-6))/(8.3145*(273.15+15))/3*12.011*10^6</f>
        <v>170.40224487065919</v>
      </c>
      <c r="AE22" s="54">
        <f>1.013*10^5*50*10^(-6)*(O22*10^(-6))/(8.3145*(273.15+15))/3*12.011*10^6</f>
        <v>250.63059064851959</v>
      </c>
      <c r="AF22" s="54">
        <f>1.013*10^5*50*10^(-6)*(P22*10^(-6))/(8.3145*(273.15+15))/3*12.011*10^6</f>
        <v>408.12925809807899</v>
      </c>
      <c r="AG22" s="54">
        <f>1.013*10^5*50*10^(-6)*(Q22*10^(-6))/(8.3145*(273.15+15))/3*12.011*10^6</f>
        <v>499.72071302437985</v>
      </c>
      <c r="AH22" s="54">
        <f>1.013*10^5*50*10^(-6)*(R22*10^(-6))/(8.3145*(273.15+15))/3*12.011*10^6</f>
        <v>585.63769167345981</v>
      </c>
      <c r="AK22" s="54">
        <f>1.013*10^5*50*10^(-6)*(U22*10^(-6))/(8.3145*(273.15+15))/3*12.011*10^6</f>
        <v>4.9549310993917371E-4</v>
      </c>
      <c r="AL22" s="54">
        <f>1.013*10^5*50*10^(-6)*(V22*10^(-6))/(8.3145*(273.15+15))/3*12.011*10^6</f>
        <v>4.0752438147668074E-4</v>
      </c>
      <c r="AM22" s="54">
        <f>1.013*10^5*50*10^(-6)*(W22*10^(-6))/(8.3145*(273.15+15))/3*12.011*10^6</f>
        <v>4.8447068706437358E-4</v>
      </c>
      <c r="AN22" s="54">
        <f>1.013*10^5*50*10^(-6)*(X22*10^(-6))/(8.3145*(273.15+15))/3*12.011*10^6</f>
        <v>4.4229927295419424E-4</v>
      </c>
      <c r="AO22" s="54">
        <f>1.013*10^5*50*10^(-6)*(Y22*10^(-6))/(8.3145*(273.15+15))/3*12.011*10^6</f>
        <v>3.6598519510229471E-4</v>
      </c>
      <c r="AP22" s="54">
        <f>1.013*10^5*50*10^(-6)*(Z22*10^(-6))/(8.3145*(273.15+15))/3*12.011*10^6</f>
        <v>2.6098040692687144E-4</v>
      </c>
      <c r="AZ22" s="18">
        <v>19</v>
      </c>
      <c r="BA22">
        <f>C22-B22</f>
        <v>488.22618709492986</v>
      </c>
      <c r="BB22">
        <f>('7-24-13 Final'!S37-'7-24-13 Initial'!S37)*60</f>
        <v>138.99999999999636</v>
      </c>
      <c r="BC22">
        <f>BD22/60</f>
        <v>5.8540310203230535E-2</v>
      </c>
      <c r="BD22">
        <f>BA22/BB22</f>
        <v>3.5124186121938319</v>
      </c>
      <c r="BE22">
        <f>BD22/3</f>
        <v>1.1708062040646106</v>
      </c>
      <c r="BF22" s="48">
        <f>D22-B22</f>
        <v>20132.268388716249</v>
      </c>
      <c r="BG22">
        <f>('7-29-13 Final #2'!S37-'7-24-13 Initial'!S37)*60</f>
        <v>6968.9999999999982</v>
      </c>
      <c r="BH22">
        <f>BI22/60</f>
        <v>4.8147195649103774E-2</v>
      </c>
      <c r="BI22">
        <f>BF22/BG22</f>
        <v>2.8888317389462266</v>
      </c>
      <c r="BJ22">
        <f>BI22/3</f>
        <v>0.96294391298207549</v>
      </c>
      <c r="BK22" s="48">
        <f>G22-F22</f>
        <v>9478.6227189001402</v>
      </c>
      <c r="BL22">
        <f>60*('8-1-13 Final #1'!S37-'7-30-13 Initial + cap'!S37)</f>
        <v>2760</v>
      </c>
      <c r="BM22">
        <f>BN22/60</f>
        <v>5.7238059896739982E-2</v>
      </c>
      <c r="BN22">
        <f>BK22/BL22</f>
        <v>3.4342835938043987</v>
      </c>
      <c r="BO22">
        <f>BN22/3</f>
        <v>1.1447611979347996</v>
      </c>
      <c r="BP22" s="48">
        <f>H22-F22</f>
        <v>28086.390746642039</v>
      </c>
      <c r="BQ22">
        <f>('8-5-13 final 1'!S37-'7-30-13 Initial + cap'!S37)*60</f>
        <v>8957.9999999999964</v>
      </c>
      <c r="BR22">
        <f>BS22/60</f>
        <v>5.2255694624250296E-2</v>
      </c>
      <c r="BS22">
        <f>BP22/BQ22</f>
        <v>3.1353416774550178</v>
      </c>
      <c r="BT22">
        <f>BS22/3</f>
        <v>1.0451138924850059</v>
      </c>
      <c r="BU22" s="48">
        <f>'8-8-13 Final'!U37-'8-5-13 initial'!U37</f>
        <v>10821.123595460253</v>
      </c>
      <c r="BV22">
        <f>('8-8-13 Final'!S37-'8-5-13 initial'!S37)*60</f>
        <v>4170.9999999999991</v>
      </c>
      <c r="BW22">
        <f>BX22/60</f>
        <v>4.3239525275554441E-2</v>
      </c>
      <c r="BX22">
        <f>BU22/BV22</f>
        <v>2.5943715165332666</v>
      </c>
      <c r="BY22">
        <f>BX22/3</f>
        <v>0.86479050551108883</v>
      </c>
      <c r="BZ22" s="48">
        <v>20971.833021992701</v>
      </c>
      <c r="CA22">
        <v>11336</v>
      </c>
      <c r="CB22">
        <f>CC22/60</f>
        <v>3.0833675932122998E-2</v>
      </c>
      <c r="CC22">
        <v>1.8500205559273799</v>
      </c>
      <c r="CD22">
        <v>0.61667351864245901</v>
      </c>
    </row>
    <row r="23" spans="1:82">
      <c r="A23">
        <v>20</v>
      </c>
      <c r="B23">
        <v>1407.5357329907899</v>
      </c>
      <c r="C23">
        <v>1729.3668789680501</v>
      </c>
      <c r="D23">
        <v>7506.7725071873301</v>
      </c>
      <c r="F23">
        <v>1025.79934863054</v>
      </c>
      <c r="G23">
        <v>3666.47569799031</v>
      </c>
      <c r="H23">
        <v>7867.3456003839901</v>
      </c>
      <c r="I23">
        <v>1174.0578435254199</v>
      </c>
      <c r="J23">
        <v>5150.90593603857</v>
      </c>
      <c r="K23">
        <v>5874.9046474631696</v>
      </c>
      <c r="M23">
        <f>C23-B23</f>
        <v>321.83114597726012</v>
      </c>
      <c r="N23">
        <f>D23-B23</f>
        <v>6099.23677419654</v>
      </c>
      <c r="O23">
        <f>(G23-F23)+N23</f>
        <v>8739.9131235563109</v>
      </c>
      <c r="P23">
        <f>(H23-F23)+N23</f>
        <v>12940.78302594999</v>
      </c>
      <c r="Q23">
        <f>(J23-I23)+P23</f>
        <v>16917.631118463141</v>
      </c>
      <c r="R23">
        <f>(K23-J23)+Q23</f>
        <v>17641.629829887741</v>
      </c>
      <c r="U23">
        <v>3.8868495890974103E-2</v>
      </c>
      <c r="V23">
        <v>1.45886834438302E-2</v>
      </c>
      <c r="W23">
        <v>1.59461132207716E-2</v>
      </c>
      <c r="X23">
        <v>1.31245132208285E-2</v>
      </c>
      <c r="Y23">
        <v>1.5894676628749601E-2</v>
      </c>
      <c r="Z23">
        <v>6.9119935361531297E-3</v>
      </c>
      <c r="AC23" s="54">
        <f>1.013*10^5*50*10^(-6)*(M23*10^(-6))/(8.3145*(273.15+15))/3*12.011*10^6</f>
        <v>2.7240223846091349</v>
      </c>
      <c r="AD23" s="54">
        <f>1.013*10^5*50*10^(-6)*(N23*10^(-6))/(8.3145*(273.15+15))/3*12.011*10^6</f>
        <v>51.624765687272927</v>
      </c>
      <c r="AE23" s="54">
        <f>1.013*10^5*50*10^(-6)*(O23*10^(-6))/(8.3145*(273.15+15))/3*12.011*10^6</f>
        <v>73.975807766563207</v>
      </c>
      <c r="AF23" s="54">
        <f>1.013*10^5*50*10^(-6)*(P23*10^(-6))/(8.3145*(273.15+15))/3*12.011*10^6</f>
        <v>109.53253927619691</v>
      </c>
      <c r="AG23" s="54">
        <f>1.013*10^5*50*10^(-6)*(Q23*10^(-6))/(8.3145*(273.15+15))/3*12.011*10^6</f>
        <v>143.19311986202189</v>
      </c>
      <c r="AH23" s="54">
        <f>1.013*10^5*50*10^(-6)*(R23*10^(-6))/(8.3145*(273.15+15))/3*12.011*10^6</f>
        <v>149.32114296047035</v>
      </c>
      <c r="AK23" s="54">
        <f>1.013*10^5*50*10^(-6)*(U23*10^(-6))/(8.3145*(273.15+15))/3*12.011*10^6</f>
        <v>3.2898821070159192E-4</v>
      </c>
      <c r="AL23" s="54">
        <f>1.013*10^5*50*10^(-6)*(V23*10^(-6))/(8.3145*(273.15+15))/3*12.011*10^6</f>
        <v>1.2348059148314402E-4</v>
      </c>
      <c r="AM23" s="54">
        <f>1.013*10^5*50*10^(-6)*(W23*10^(-6))/(8.3145*(273.15+15))/3*12.011*10^6</f>
        <v>1.3497006086527968E-4</v>
      </c>
      <c r="AN23" s="54">
        <f>1.013*10^5*50*10^(-6)*(X23*10^(-6))/(8.3145*(273.15+15))/3*12.011*10^6</f>
        <v>1.11087656516506E-4</v>
      </c>
      <c r="AO23" s="54">
        <f>1.013*10^5*50*10^(-6)*(Y23*10^(-6))/(8.3145*(273.15+15))/3*12.011*10^6</f>
        <v>1.3453469458762975E-4</v>
      </c>
      <c r="AP23" s="54">
        <f>1.013*10^5*50*10^(-6)*(Z23*10^(-6))/(8.3145*(273.15+15))/3*12.011*10^6</f>
        <v>5.8504048940263701E-5</v>
      </c>
      <c r="AZ23">
        <v>20</v>
      </c>
      <c r="BA23">
        <f>C23-B23</f>
        <v>321.83114597726012</v>
      </c>
      <c r="BB23">
        <f>('7-24-13 Final'!S38-'7-24-13 Initial'!S38)*60</f>
        <v>137.99999999999727</v>
      </c>
      <c r="BC23">
        <f>BD23/60</f>
        <v>3.8868495890974214E-2</v>
      </c>
      <c r="BD23">
        <f>BA23/BB23</f>
        <v>2.3321097534584529</v>
      </c>
      <c r="BE23">
        <f>BD23/3</f>
        <v>0.77736991781948428</v>
      </c>
      <c r="BF23" s="48">
        <f>D23-B23</f>
        <v>6099.23677419654</v>
      </c>
      <c r="BG23">
        <f>('7-29-13 Final #2'!S38-'7-24-13 Initial'!S38)*60</f>
        <v>6968</v>
      </c>
      <c r="BH23">
        <f>BI23/60</f>
        <v>1.4588683443830222E-2</v>
      </c>
      <c r="BI23">
        <f>BF23/BG23</f>
        <v>0.87532100662981338</v>
      </c>
      <c r="BJ23">
        <f>BI23/3</f>
        <v>0.29177366887660444</v>
      </c>
      <c r="BK23" s="48">
        <f>G23-F23</f>
        <v>2640.67634935977</v>
      </c>
      <c r="BL23">
        <f>60*('8-1-13 Final #1'!S38-'7-30-13 Initial + cap'!S38)</f>
        <v>2760</v>
      </c>
      <c r="BM23">
        <f>BN23/60</f>
        <v>1.5946113220771559E-2</v>
      </c>
      <c r="BN23">
        <f>BK23/BL23</f>
        <v>0.95676679324629343</v>
      </c>
      <c r="BO23">
        <f>BN23/3</f>
        <v>0.31892226441543114</v>
      </c>
      <c r="BP23" s="48">
        <f>H23-F23</f>
        <v>6841.5462517534506</v>
      </c>
      <c r="BQ23">
        <f>('8-5-13 final 1'!S38-'7-30-13 Initial + cap'!S38)*60</f>
        <v>8687.9999999999964</v>
      </c>
      <c r="BR23">
        <f>BS23/60</f>
        <v>1.3124513220828448E-2</v>
      </c>
      <c r="BS23">
        <f>BP23/BQ23</f>
        <v>0.78747079324970692</v>
      </c>
      <c r="BT23">
        <f>BS23/3</f>
        <v>0.26249026441656897</v>
      </c>
      <c r="BU23" s="48">
        <f>'8-8-13 Final'!U38-'8-5-13 initial'!U38</f>
        <v>3976.8480925131425</v>
      </c>
      <c r="BV23">
        <f>('8-8-13 Final'!S38-'8-5-13 initial'!S38)*60</f>
        <v>4170</v>
      </c>
      <c r="BW23">
        <f>BX23/60</f>
        <v>1.589467662874957E-2</v>
      </c>
      <c r="BX23">
        <f>BU23/BV23</f>
        <v>0.95368059772497427</v>
      </c>
      <c r="BY23">
        <f>BX23/3</f>
        <v>0.31789353257499142</v>
      </c>
      <c r="BZ23" s="48">
        <v>4700.8468039377403</v>
      </c>
      <c r="CA23">
        <v>11335</v>
      </c>
      <c r="CB23">
        <f>CC23/60</f>
        <v>6.9119935361531331E-3</v>
      </c>
      <c r="CC23">
        <v>0.41471961216918801</v>
      </c>
      <c r="CD23">
        <v>0.13823987072306301</v>
      </c>
    </row>
    <row r="24" spans="1:82">
      <c r="A24" s="18">
        <v>21</v>
      </c>
      <c r="B24">
        <v>1284.9353423324101</v>
      </c>
      <c r="C24">
        <v>1580.0890305596699</v>
      </c>
      <c r="D24">
        <v>7107.16465972269</v>
      </c>
      <c r="F24">
        <v>785.60113793790697</v>
      </c>
      <c r="G24">
        <v>3291.3933107194098</v>
      </c>
      <c r="H24">
        <v>7303.5348999572197</v>
      </c>
      <c r="I24">
        <v>1086.34119124174</v>
      </c>
      <c r="J24">
        <v>5688.5790572939704</v>
      </c>
      <c r="K24">
        <v>10092.137276029</v>
      </c>
      <c r="M24">
        <f>C24-B24</f>
        <v>295.15368822725986</v>
      </c>
      <c r="N24">
        <f>D24-B24</f>
        <v>5822.2293173902799</v>
      </c>
      <c r="O24">
        <f>(G24-F24)+N24</f>
        <v>8328.0214901717827</v>
      </c>
      <c r="P24">
        <f>(H24-F24)+N24</f>
        <v>12340.163079409593</v>
      </c>
      <c r="Q24">
        <f>(J24-I24)+P24</f>
        <v>16942.400945461821</v>
      </c>
      <c r="R24">
        <f>(K24-J24)+Q24</f>
        <v>21345.959164196851</v>
      </c>
      <c r="U24">
        <v>3.46424516698665E-2</v>
      </c>
      <c r="V24">
        <v>1.3926112986486499E-2</v>
      </c>
      <c r="W24">
        <v>1.51315952462651E-2</v>
      </c>
      <c r="X24">
        <v>1.2499393552754401E-2</v>
      </c>
      <c r="Y24">
        <v>1.8398648221204999E-2</v>
      </c>
      <c r="Z24">
        <v>1.32418704378581E-2</v>
      </c>
      <c r="AC24" s="54">
        <f>1.013*10^5*50*10^(-6)*(M24*10^(-6))/(8.3145*(273.15+15))/3*12.011*10^6</f>
        <v>2.4982207709871895</v>
      </c>
      <c r="AD24" s="54">
        <f>1.013*10^5*50*10^(-6)*(N24*10^(-6))/(8.3145*(273.15+15))/3*12.011*10^6</f>
        <v>49.280137075419383</v>
      </c>
      <c r="AE24" s="54">
        <f>1.013*10^5*50*10^(-6)*(O24*10^(-6))/(8.3145*(273.15+15))/3*12.011*10^6</f>
        <v>70.489501225393454</v>
      </c>
      <c r="AF24" s="54">
        <f>1.013*10^5*50*10^(-6)*(P24*10^(-6))/(8.3145*(273.15+15))/3*12.011*10^6</f>
        <v>104.44881074504231</v>
      </c>
      <c r="AG24" s="54">
        <f>1.013*10^5*50*10^(-6)*(Q24*10^(-6))/(8.3145*(273.15+15))/3*12.011*10^6</f>
        <v>143.40277503073597</v>
      </c>
      <c r="AH24" s="54">
        <f>1.013*10^5*50*10^(-6)*(R24*10^(-6))/(8.3145*(273.15+15))/3*12.011*10^6</f>
        <v>180.67508788702895</v>
      </c>
      <c r="AK24" s="54">
        <f>1.013*10^5*50*10^(-6)*(U24*10^(-6))/(8.3145*(273.15+15))/3*12.011*10^6</f>
        <v>2.932184003506118E-4</v>
      </c>
      <c r="AL24" s="54">
        <f>1.013*10^5*50*10^(-6)*(V24*10^(-6))/(8.3145*(273.15+15))/3*12.011*10^6</f>
        <v>1.1787250544254535E-4</v>
      </c>
      <c r="AM24" s="54">
        <f>1.013*10^5*50*10^(-6)*(W24*10^(-6))/(8.3145*(273.15+15))/3*12.011*10^6</f>
        <v>1.2807587047085781E-4</v>
      </c>
      <c r="AN24" s="54">
        <f>1.013*10^5*50*10^(-6)*(X24*10^(-6))/(8.3145*(273.15+15))/3*12.011*10^6</f>
        <v>1.0579655902585602E-4</v>
      </c>
      <c r="AO24" s="54">
        <f>1.013*10^5*50*10^(-6)*(Y24*10^(-6))/(8.3145*(273.15+15))/3*12.011*10^6</f>
        <v>1.5572864909927861E-4</v>
      </c>
      <c r="AP24" s="54">
        <f>1.013*10^5*50*10^(-6)*(Z24*10^(-6))/(8.3145*(273.15+15))/3*12.011*10^6</f>
        <v>1.1208098388764444E-4</v>
      </c>
      <c r="AZ24" s="18">
        <v>21</v>
      </c>
      <c r="BA24">
        <f>C24-B24</f>
        <v>295.15368822725986</v>
      </c>
      <c r="BB24">
        <f>('7-24-13 Final'!S39-'7-24-13 Initial'!S39)*60</f>
        <v>142.00000000000045</v>
      </c>
      <c r="BC24">
        <f>BD24/60</f>
        <v>3.4642451669866077E-2</v>
      </c>
      <c r="BD24">
        <f>BA24/BB24</f>
        <v>2.0785471001919644</v>
      </c>
      <c r="BE24">
        <f>BD24/3</f>
        <v>0.69284903339732151</v>
      </c>
      <c r="BF24" s="48">
        <f>D24-B24</f>
        <v>5822.2293173902799</v>
      </c>
      <c r="BG24">
        <f>('7-29-13 Final #2'!S39-'7-24-13 Initial'!S39)*60</f>
        <v>6968</v>
      </c>
      <c r="BH24">
        <f>BI24/60</f>
        <v>1.392611298648651E-2</v>
      </c>
      <c r="BI24">
        <f>BF24/BG24</f>
        <v>0.83556677918919053</v>
      </c>
      <c r="BJ24">
        <f>BI24/3</f>
        <v>0.27852225972973016</v>
      </c>
      <c r="BK24" s="48">
        <f>G24-F24</f>
        <v>2505.7921727815028</v>
      </c>
      <c r="BL24">
        <f>60*('8-1-13 Final #1'!S39-'7-30-13 Initial + cap'!S39)</f>
        <v>2760</v>
      </c>
      <c r="BM24">
        <f>BN24/60</f>
        <v>1.5131595246265114E-2</v>
      </c>
      <c r="BN24">
        <f>BK24/BL24</f>
        <v>0.9078957147759068</v>
      </c>
      <c r="BO24">
        <f>BN24/3</f>
        <v>0.30263190492530229</v>
      </c>
      <c r="BP24" s="48">
        <f>H24-F24</f>
        <v>6517.9337620193128</v>
      </c>
      <c r="BQ24">
        <f>('8-5-13 final 1'!S39-'7-30-13 Initial + cap'!S39)*60</f>
        <v>8691.0000000000018</v>
      </c>
      <c r="BR24">
        <f>BS24/60</f>
        <v>1.2499393552754404E-2</v>
      </c>
      <c r="BS24">
        <f>BP24/BQ24</f>
        <v>0.74996361316526428</v>
      </c>
      <c r="BT24">
        <f>BS24/3</f>
        <v>0.2499878710550881</v>
      </c>
      <c r="BU24" s="48">
        <f>'8-8-13 Final'!U39-'8-5-13 initial'!U39</f>
        <v>4602.2378660522272</v>
      </c>
      <c r="BV24">
        <f>('8-8-13 Final'!S39-'8-5-13 initial'!S39)*60</f>
        <v>4169.0000000000009</v>
      </c>
      <c r="BW24">
        <f>BX24/60</f>
        <v>1.839864822120503E-2</v>
      </c>
      <c r="BX24">
        <f>BU24/BV24</f>
        <v>1.1039188932723019</v>
      </c>
      <c r="BY24">
        <f>BX24/3</f>
        <v>0.3679729644241006</v>
      </c>
      <c r="BZ24" s="48">
        <v>9005.79608478726</v>
      </c>
      <c r="CA24">
        <v>11335</v>
      </c>
      <c r="CB24">
        <f>CC24/60</f>
        <v>1.324187043785805E-2</v>
      </c>
      <c r="CC24">
        <v>0.79451222627148299</v>
      </c>
      <c r="CD24">
        <v>0.264837408757161</v>
      </c>
    </row>
    <row r="25" spans="1:82">
      <c r="A25" s="18">
        <v>22</v>
      </c>
      <c r="B25">
        <v>1231.1435304920101</v>
      </c>
      <c r="C25">
        <v>1512.6524789267701</v>
      </c>
      <c r="D25">
        <v>6320.4357984777998</v>
      </c>
      <c r="F25">
        <v>907.42722596592398</v>
      </c>
      <c r="G25">
        <v>3357.9987179964101</v>
      </c>
      <c r="H25">
        <v>7419.9720603925498</v>
      </c>
      <c r="I25">
        <v>1685.00614239987</v>
      </c>
      <c r="J25">
        <v>4930.6286993121103</v>
      </c>
      <c r="K25">
        <v>8303.1972351717504</v>
      </c>
      <c r="M25">
        <f>C25-B25</f>
        <v>281.50894843475999</v>
      </c>
      <c r="N25">
        <f>D25-B25</f>
        <v>5089.2922679857893</v>
      </c>
      <c r="O25">
        <f>(G25-F25)+N25</f>
        <v>7539.8637600162756</v>
      </c>
      <c r="P25">
        <f>(H25-F25)+N25</f>
        <v>11601.837102412415</v>
      </c>
      <c r="Q25">
        <f>(J25-I25)+P25</f>
        <v>14847.459659324655</v>
      </c>
      <c r="R25">
        <f>(K25-J25)+Q25</f>
        <v>18220.028195184295</v>
      </c>
      <c r="U25">
        <v>3.3040956389056499E-2</v>
      </c>
      <c r="V25">
        <v>1.21730105912404E-2</v>
      </c>
      <c r="W25">
        <v>1.47981370291696E-2</v>
      </c>
      <c r="X25">
        <v>1.2489059246014299E-2</v>
      </c>
      <c r="Y25">
        <v>1.2975224102151701E-2</v>
      </c>
      <c r="Z25">
        <v>9.7329202223181092E-3</v>
      </c>
      <c r="AC25" s="54">
        <f>1.013*10^5*50*10^(-6)*(M25*10^(-6))/(8.3145*(273.15+15))/3*12.011*10^6</f>
        <v>2.3827298463469657</v>
      </c>
      <c r="AD25" s="54">
        <f>1.013*10^5*50*10^(-6)*(N25*10^(-6))/(8.3145*(273.15+15))/3*12.011*10^6</f>
        <v>43.07645867436036</v>
      </c>
      <c r="AE25" s="54">
        <f>1.013*10^5*50*10^(-6)*(O25*10^(-6))/(8.3145*(273.15+15))/3*12.011*10^6</f>
        <v>63.818427507444405</v>
      </c>
      <c r="AF25" s="54">
        <f>1.013*10^5*50*10^(-6)*(P25*10^(-6))/(8.3145*(273.15+15))/3*12.011*10^6</f>
        <v>98.199519731360155</v>
      </c>
      <c r="AG25" s="54">
        <f>1.013*10^5*50*10^(-6)*(Q25*10^(-6))/(8.3145*(273.15+15))/3*12.011*10^6</f>
        <v>125.67090840064068</v>
      </c>
      <c r="AH25" s="54">
        <f>1.013*10^5*50*10^(-6)*(R25*10^(-6))/(8.3145*(273.15+15))/3*12.011*10^6</f>
        <v>154.21678501992614</v>
      </c>
      <c r="AK25" s="54">
        <f>1.013*10^5*50*10^(-6)*(U25*10^(-6))/(8.3145*(273.15+15))/3*12.011*10^6</f>
        <v>2.7966312750551378E-4</v>
      </c>
      <c r="AL25" s="54">
        <f>1.013*10^5*50*10^(-6)*(V25*10^(-6))/(8.3145*(273.15+15))/3*12.011*10^6</f>
        <v>1.03034009458382E-4</v>
      </c>
      <c r="AM25" s="54">
        <f>1.013*10^5*50*10^(-6)*(W25*10^(-6))/(8.3145*(273.15+15))/3*12.011*10^6</f>
        <v>1.2525343498239155E-4</v>
      </c>
      <c r="AN25" s="54">
        <f>1.013*10^5*50*10^(-6)*(X25*10^(-6))/(8.3145*(273.15+15))/3*12.011*10^6</f>
        <v>1.0570908805469202E-4</v>
      </c>
      <c r="AO25" s="54">
        <f>1.013*10^5*50*10^(-6)*(Y25*10^(-6))/(8.3145*(273.15+15))/3*12.011*10^6</f>
        <v>1.0982405320732563E-4</v>
      </c>
      <c r="AP25" s="54">
        <f>1.013*10^5*50*10^(-6)*(Z25*10^(-6))/(8.3145*(273.15+15))/3*12.011*10^6</f>
        <v>8.2380754270075442E-5</v>
      </c>
      <c r="AZ25" s="18">
        <v>22</v>
      </c>
      <c r="BA25">
        <f>C25-B25</f>
        <v>281.50894843475999</v>
      </c>
      <c r="BB25">
        <f>('7-24-13 Final'!S40-'7-24-13 Initial'!S40)*60</f>
        <v>142.00000000000045</v>
      </c>
      <c r="BC25">
        <f>BD25/60</f>
        <v>3.3040956389056228E-2</v>
      </c>
      <c r="BD25">
        <f>BA25/BB25</f>
        <v>1.9824573833433738</v>
      </c>
      <c r="BE25">
        <f>BD25/3</f>
        <v>0.66081912778112462</v>
      </c>
      <c r="BF25" s="48">
        <f>D25-B25</f>
        <v>5089.2922679857893</v>
      </c>
      <c r="BG25">
        <f>('7-29-13 Final #2'!S40-'7-24-13 Initial'!S40)*60</f>
        <v>6968</v>
      </c>
      <c r="BH25">
        <f>BI25/60</f>
        <v>1.2173010591240407E-2</v>
      </c>
      <c r="BI25">
        <f>BF25/BG25</f>
        <v>0.73038063547442444</v>
      </c>
      <c r="BJ25">
        <f>BI25/3</f>
        <v>0.24346021182480815</v>
      </c>
      <c r="BK25" s="48">
        <f>G25-F25</f>
        <v>2450.5714920304863</v>
      </c>
      <c r="BL25">
        <f>60*('8-1-13 Final #1'!S40-'7-30-13 Initial + cap'!S40)</f>
        <v>2760</v>
      </c>
      <c r="BM25">
        <f>BN25/60</f>
        <v>1.4798137029169604E-2</v>
      </c>
      <c r="BN25">
        <f>BK25/BL25</f>
        <v>0.88788822175017623</v>
      </c>
      <c r="BO25">
        <f>BN25/3</f>
        <v>0.29596274058339206</v>
      </c>
      <c r="BP25" s="48">
        <f>H25-F25</f>
        <v>6512.544834426626</v>
      </c>
      <c r="BQ25">
        <f>('8-5-13 final 1'!S40-'7-30-13 Initial + cap'!S40)*60</f>
        <v>8691.0000000000018</v>
      </c>
      <c r="BR25">
        <f>BS25/60</f>
        <v>1.2489059246014315E-2</v>
      </c>
      <c r="BS25">
        <f>BP25/BQ25</f>
        <v>0.7493435547608589</v>
      </c>
      <c r="BT25">
        <f>BS25/3</f>
        <v>0.24978118492028631</v>
      </c>
      <c r="BU25" s="48">
        <f>'8-8-13 Final'!U40-'8-5-13 initial'!U40</f>
        <v>3245.6225569122334</v>
      </c>
      <c r="BV25">
        <f>('8-8-13 Final'!S40-'8-5-13 initial'!S40)*60</f>
        <v>4169.0000000000009</v>
      </c>
      <c r="BW25">
        <f>BX25/60</f>
        <v>1.2975224102151727E-2</v>
      </c>
      <c r="BX25">
        <f>BU25/BV25</f>
        <v>0.77851344612910356</v>
      </c>
      <c r="BY25">
        <f>BX25/3</f>
        <v>0.2595044820430345</v>
      </c>
      <c r="BZ25" s="48">
        <v>6618.19109277187</v>
      </c>
      <c r="CA25">
        <v>11333</v>
      </c>
      <c r="CB25">
        <f>CC25/60</f>
        <v>9.7329202223181161E-3</v>
      </c>
      <c r="CC25">
        <v>0.58397521333908697</v>
      </c>
      <c r="CD25">
        <v>0.19465840444636201</v>
      </c>
    </row>
    <row r="26" spans="1:82">
      <c r="A26">
        <v>23</v>
      </c>
      <c r="B26">
        <v>1303.67457687499</v>
      </c>
      <c r="C26">
        <v>1587.18466197878</v>
      </c>
      <c r="D26">
        <v>6304.0670507298701</v>
      </c>
      <c r="F26">
        <v>886.34796410224703</v>
      </c>
      <c r="G26">
        <v>3488.9483642023902</v>
      </c>
      <c r="H26">
        <v>7332.63530639496</v>
      </c>
      <c r="I26">
        <v>1227.54261141708</v>
      </c>
      <c r="J26">
        <v>4807.2241029920797</v>
      </c>
      <c r="K26">
        <v>8799.0708546624501</v>
      </c>
      <c r="M26">
        <f>C26-B26</f>
        <v>283.51008510379006</v>
      </c>
      <c r="N26">
        <f>D26-B26</f>
        <v>5000.3924738548803</v>
      </c>
      <c r="O26">
        <f>(G26-F26)+N26</f>
        <v>7602.9928739550232</v>
      </c>
      <c r="P26">
        <f>(H26-F26)+N26</f>
        <v>11446.679816147593</v>
      </c>
      <c r="Q26">
        <f>(J26-I26)+P26</f>
        <v>15026.361307722593</v>
      </c>
      <c r="R26">
        <f>(K26-J26)+Q26</f>
        <v>19018.208059392964</v>
      </c>
      <c r="U26">
        <v>3.3275831584952398E-2</v>
      </c>
      <c r="V26">
        <v>1.1956940396592199E-2</v>
      </c>
      <c r="W26">
        <v>1.5716185990942901E-2</v>
      </c>
      <c r="X26">
        <v>1.2361997741519399E-2</v>
      </c>
      <c r="Y26">
        <v>1.43141454397593E-2</v>
      </c>
      <c r="Z26">
        <v>1.11349278555919E-2</v>
      </c>
      <c r="AC26" s="54">
        <f>1.013*10^5*50*10^(-6)*(M26*10^(-6))/(8.3145*(273.15+15))/3*12.011*10^6</f>
        <v>2.3996677379998927</v>
      </c>
      <c r="AD26" s="54">
        <f>1.013*10^5*50*10^(-6)*(N26*10^(-6))/(8.3145*(273.15+15))/3*12.011*10^6</f>
        <v>42.32399878280949</v>
      </c>
      <c r="AE26" s="54">
        <f>1.013*10^5*50*10^(-6)*(O26*10^(-6))/(8.3145*(273.15+15))/3*12.011*10^6</f>
        <v>64.352760873369888</v>
      </c>
      <c r="AF26" s="54">
        <f>1.013*10^5*50*10^(-6)*(P26*10^(-6))/(8.3145*(273.15+15))/3*12.011*10^6</f>
        <v>96.88624745736324</v>
      </c>
      <c r="AG26" s="54">
        <f>1.013*10^5*50*10^(-6)*(Q26*10^(-6))/(8.3145*(273.15+15))/3*12.011*10^6</f>
        <v>127.18515616991623</v>
      </c>
      <c r="AH26" s="54">
        <f>1.013*10^5*50*10^(-6)*(R26*10^(-6))/(8.3145*(273.15+15))/3*12.011*10^6</f>
        <v>160.97268743715935</v>
      </c>
      <c r="AK26" s="54">
        <f>1.013*10^5*50*10^(-6)*(U26*10^(-6))/(8.3145*(273.15+15))/3*12.011*10^6</f>
        <v>2.8165114295773826E-4</v>
      </c>
      <c r="AL26" s="54">
        <f>1.013*10^5*50*10^(-6)*(V26*10^(-6))/(8.3145*(273.15+15))/3*12.011*10^6</f>
        <v>1.0120516208227953E-4</v>
      </c>
      <c r="AM26" s="54">
        <f>1.013*10^5*50*10^(-6)*(W26*10^(-6))/(8.3145*(273.15+15))/3*12.011*10^6</f>
        <v>1.3302392566763536E-4</v>
      </c>
      <c r="AN26" s="54">
        <f>1.013*10^5*50*10^(-6)*(X26*10^(-6))/(8.3145*(273.15+15))/3*12.011*10^6</f>
        <v>1.0463362228081485E-4</v>
      </c>
      <c r="AO26" s="54">
        <f>1.013*10^5*50*10^(-6)*(Y26*10^(-6))/(8.3145*(273.15+15))/3*12.011*10^6</f>
        <v>1.2115686465352298E-4</v>
      </c>
      <c r="AP26" s="54">
        <f>1.013*10^5*50*10^(-6)*(Z26*10^(-6))/(8.3145*(273.15+15))/3*12.011*10^6</f>
        <v>9.4247536662543229E-5</v>
      </c>
      <c r="AZ26">
        <v>23</v>
      </c>
      <c r="BA26">
        <f>C26-B26</f>
        <v>283.51008510379006</v>
      </c>
      <c r="BB26">
        <f>('7-24-13 Final'!S41-'7-24-13 Initial'!S41)*60</f>
        <v>142.00000000000045</v>
      </c>
      <c r="BC26">
        <f>BD26/60</f>
        <v>3.327583158495178E-2</v>
      </c>
      <c r="BD26">
        <f>BA26/BB26</f>
        <v>1.9965498950971068</v>
      </c>
      <c r="BE26">
        <f>BD26/3</f>
        <v>0.66551663169903563</v>
      </c>
      <c r="BF26" s="48">
        <f>D26-B26</f>
        <v>5000.3924738548803</v>
      </c>
      <c r="BG26">
        <f>('7-29-13 Final #2'!S41-'7-24-13 Initial'!S41)*60</f>
        <v>6970.0000000000045</v>
      </c>
      <c r="BH26">
        <f>BI26/60</f>
        <v>1.1956940396592246E-2</v>
      </c>
      <c r="BI26">
        <f>BF26/BG26</f>
        <v>0.71741642379553472</v>
      </c>
      <c r="BJ26">
        <f>BI26/3</f>
        <v>0.23913880793184492</v>
      </c>
      <c r="BK26" s="48">
        <f>G26-F26</f>
        <v>2602.6004001001429</v>
      </c>
      <c r="BL26">
        <f>60*('8-1-13 Final #1'!S41-'7-30-13 Initial + cap'!S41)</f>
        <v>2760</v>
      </c>
      <c r="BM26">
        <f>BN26/60</f>
        <v>1.5716185990942891E-2</v>
      </c>
      <c r="BN26">
        <f>BK26/BL26</f>
        <v>0.9429711594565735</v>
      </c>
      <c r="BO26">
        <f>BN26/3</f>
        <v>0.31432371981885782</v>
      </c>
      <c r="BP26" s="48">
        <f>H26-F26</f>
        <v>6446.2873422927132</v>
      </c>
      <c r="BQ26">
        <f>('8-5-13 final 1'!S41-'7-30-13 Initial + cap'!S41)*60</f>
        <v>8691.0000000000018</v>
      </c>
      <c r="BR26">
        <f>BS26/60</f>
        <v>1.2361997741519411E-2</v>
      </c>
      <c r="BS26">
        <f>BP26/BQ26</f>
        <v>0.74171986449116467</v>
      </c>
      <c r="BT26">
        <f>BS26/3</f>
        <v>0.24723995483038821</v>
      </c>
      <c r="BU26" s="48">
        <f>'8-8-13 Final'!U41-'8-5-13 initial'!U41</f>
        <v>3579.6814915749987</v>
      </c>
      <c r="BV26">
        <f>('8-8-13 Final'!S41-'8-5-13 initial'!S41)*60</f>
        <v>4168.0000000000018</v>
      </c>
      <c r="BW26">
        <f>BX26/60</f>
        <v>1.4314145439759266E-2</v>
      </c>
      <c r="BX26">
        <f>BU26/BV26</f>
        <v>0.85884872638555598</v>
      </c>
      <c r="BY26">
        <f>BX26/3</f>
        <v>0.28628290879518531</v>
      </c>
      <c r="BZ26" s="48">
        <v>7571.5282432453596</v>
      </c>
      <c r="CA26">
        <v>11333</v>
      </c>
      <c r="CB26">
        <f>CC26/60</f>
        <v>1.1134927855591883E-2</v>
      </c>
      <c r="CC26">
        <v>0.66809567133551295</v>
      </c>
      <c r="CD26">
        <v>0.222698557111838</v>
      </c>
    </row>
    <row r="27" spans="1:82">
      <c r="A27" s="18">
        <v>24</v>
      </c>
      <c r="B27">
        <v>1296.26297786034</v>
      </c>
      <c r="C27">
        <v>1566.5021888874601</v>
      </c>
      <c r="D27">
        <v>6844.4448809673704</v>
      </c>
      <c r="F27">
        <v>1113.46081525313</v>
      </c>
      <c r="G27">
        <v>4029.9596180438298</v>
      </c>
      <c r="H27">
        <v>5746.0360368150104</v>
      </c>
      <c r="I27">
        <v>1368.33147992882</v>
      </c>
      <c r="J27">
        <v>5145.0294536013698</v>
      </c>
      <c r="K27">
        <v>8188.2661566984098</v>
      </c>
      <c r="M27">
        <f>C27-B27</f>
        <v>270.23921102712006</v>
      </c>
      <c r="N27">
        <f>D27-B27</f>
        <v>5548.1819031070299</v>
      </c>
      <c r="O27">
        <f>(G27-F27)+N27</f>
        <v>8464.6807058977301</v>
      </c>
      <c r="P27">
        <f>(H27-F27)+N27</f>
        <v>10180.757124668911</v>
      </c>
      <c r="Q27">
        <f>(J27-I27)+P27</f>
        <v>13957.455098341461</v>
      </c>
      <c r="R27">
        <f>(K27-J27)+Q27</f>
        <v>17000.691801438501</v>
      </c>
      <c r="U27">
        <v>3.1718217256704699E-2</v>
      </c>
      <c r="V27">
        <v>1.3270622615544901E-2</v>
      </c>
      <c r="W27">
        <v>1.76117077463206E-2</v>
      </c>
      <c r="X27">
        <v>8.8818114604890391E-3</v>
      </c>
      <c r="Y27">
        <v>1.51055834480144E-2</v>
      </c>
      <c r="Z27">
        <v>1.0031380985452301E-2</v>
      </c>
      <c r="AC27" s="54">
        <f>1.013*10^5*50*10^(-6)*(M27*10^(-6))/(8.3145*(273.15+15))/3*12.011*10^6</f>
        <v>2.2873412633872321</v>
      </c>
      <c r="AD27" s="54">
        <f>1.013*10^5*50*10^(-6)*(N27*10^(-6))/(8.3145*(273.15+15))/3*12.011*10^6</f>
        <v>46.96056266417029</v>
      </c>
      <c r="AE27" s="54">
        <f>1.013*10^5*50*10^(-6)*(O27*10^(-6))/(8.3145*(273.15+15))/3*12.011*10^6</f>
        <v>71.646203326335893</v>
      </c>
      <c r="AF27" s="54">
        <f>1.013*10^5*50*10^(-6)*(P27*10^(-6))/(8.3145*(273.15+15))/3*12.011*10^6</f>
        <v>86.171306433550001</v>
      </c>
      <c r="AG27" s="54">
        <f>1.013*10^5*50*10^(-6)*(Q27*10^(-6))/(8.3145*(273.15+15))/3*12.011*10^6</f>
        <v>118.13778931994813</v>
      </c>
      <c r="AH27" s="54">
        <f>1.013*10^5*50*10^(-6)*(R27*10^(-6))/(8.3145*(273.15+15))/3*12.011*10^6</f>
        <v>143.89615672633394</v>
      </c>
      <c r="AK27" s="54">
        <f>1.013*10^5*50*10^(-6)*(U27*10^(-6))/(8.3145*(273.15+15))/3*12.011*10^6</f>
        <v>2.6846728443512502E-4</v>
      </c>
      <c r="AL27" s="54">
        <f>1.013*10^5*50*10^(-6)*(V27*10^(-6))/(8.3145*(273.15+15))/3*12.011*10^6</f>
        <v>1.1232434621165837E-4</v>
      </c>
      <c r="AM27" s="54">
        <f>1.013*10^5*50*10^(-6)*(W27*10^(-6))/(8.3145*(273.15+15))/3*12.011*10^6</f>
        <v>1.4906787839471947E-4</v>
      </c>
      <c r="AN27" s="54">
        <f>1.013*10^5*50*10^(-6)*(X27*10^(-6))/(8.3145*(273.15+15))/3*12.011*10^6</f>
        <v>7.517685449859974E-5</v>
      </c>
      <c r="AO27" s="54">
        <f>1.013*10^5*50*10^(-6)*(Y27*10^(-6))/(8.3145*(273.15+15))/3*12.011*10^6</f>
        <v>1.2785570308934576E-4</v>
      </c>
      <c r="AP27" s="54">
        <f>1.013*10^5*50*10^(-6)*(Z27*10^(-6))/(8.3145*(273.15+15))/3*12.011*10^6</f>
        <v>8.4906966570741051E-5</v>
      </c>
      <c r="AZ27" s="18">
        <v>24</v>
      </c>
      <c r="BA27">
        <f>C27-B27</f>
        <v>270.23921102712006</v>
      </c>
      <c r="BB27">
        <f>('7-24-13 Final'!S42-'7-24-13 Initial'!S42)*60</f>
        <v>142.00000000000045</v>
      </c>
      <c r="BC27">
        <f>BD27/60</f>
        <v>3.171821725670413E-2</v>
      </c>
      <c r="BD27">
        <f>BA27/BB27</f>
        <v>1.9030930354022479</v>
      </c>
      <c r="BE27">
        <f>BD27/3</f>
        <v>0.63436434513408269</v>
      </c>
      <c r="BF27" s="48">
        <f>D27-B27</f>
        <v>5548.1819031070299</v>
      </c>
      <c r="BG27">
        <f>('7-29-13 Final #2'!S42-'7-24-13 Initial'!S42)*60</f>
        <v>6968.0000000000064</v>
      </c>
      <c r="BH27">
        <f>BI27/60</f>
        <v>1.3270622615544932E-2</v>
      </c>
      <c r="BI27">
        <f>BF27/BG27</f>
        <v>0.79623735693269593</v>
      </c>
      <c r="BJ27">
        <f>BI27/3</f>
        <v>0.26541245231089866</v>
      </c>
      <c r="BK27" s="48">
        <f>G27-F27</f>
        <v>2916.4988027906998</v>
      </c>
      <c r="BL27">
        <f>60*('8-1-13 Final #1'!S42-'7-30-13 Initial + cap'!S42)</f>
        <v>2760</v>
      </c>
      <c r="BM27">
        <f>BN27/60</f>
        <v>1.7611707746320652E-2</v>
      </c>
      <c r="BN27">
        <f>BK27/BL27</f>
        <v>1.0567024647792391</v>
      </c>
      <c r="BO27">
        <f>BN27/3</f>
        <v>0.35223415492641302</v>
      </c>
      <c r="BP27" s="48">
        <f>H27-F27</f>
        <v>4632.5752215618804</v>
      </c>
      <c r="BQ27">
        <f>('8-5-13 final 1'!S42-'7-30-13 Initial + cap'!S42)*60</f>
        <v>8693</v>
      </c>
      <c r="BR27">
        <f>BS27/60</f>
        <v>8.881811460489053E-3</v>
      </c>
      <c r="BS27">
        <f>BP27/BQ27</f>
        <v>0.53290868762934318</v>
      </c>
      <c r="BT27">
        <f>BS27/3</f>
        <v>0.17763622920978106</v>
      </c>
      <c r="BU27" s="48">
        <f>'8-8-13 Final'!U42-'8-5-13 initial'!U42</f>
        <v>3776.6979736725525</v>
      </c>
      <c r="BV27">
        <f>('8-8-13 Final'!S42-'8-5-13 initial'!S42)*60</f>
        <v>4167.0000000000027</v>
      </c>
      <c r="BW27">
        <f>BX27/60</f>
        <v>1.5105583448014359E-2</v>
      </c>
      <c r="BX27">
        <f>BU27/BV27</f>
        <v>0.90633500688086155</v>
      </c>
      <c r="BY27">
        <f>BX27/3</f>
        <v>0.30211166896028718</v>
      </c>
      <c r="BZ27" s="48">
        <v>6819.9346767695897</v>
      </c>
      <c r="CA27">
        <v>11331</v>
      </c>
      <c r="CB27">
        <f>CC27/60</f>
        <v>1.0031380985452283E-2</v>
      </c>
      <c r="CC27">
        <v>0.60188285912713702</v>
      </c>
      <c r="CD27">
        <v>0.200627619709046</v>
      </c>
    </row>
    <row r="28" spans="1:82">
      <c r="A28" s="18">
        <v>25</v>
      </c>
      <c r="B28">
        <v>1608.6856180668101</v>
      </c>
      <c r="C28">
        <v>2028.85053260942</v>
      </c>
      <c r="D28">
        <v>9971.0912921002491</v>
      </c>
      <c r="F28">
        <v>947.39623880389695</v>
      </c>
      <c r="G28">
        <v>4818.4882670876696</v>
      </c>
      <c r="H28">
        <v>10559.696117974099</v>
      </c>
      <c r="I28">
        <v>1787.5744318471</v>
      </c>
      <c r="J28">
        <v>7988.8458096111299</v>
      </c>
      <c r="K28">
        <v>17100.764869090799</v>
      </c>
      <c r="M28">
        <f>C28-B28</f>
        <v>420.16491454260995</v>
      </c>
      <c r="N28">
        <f>D28-B28</f>
        <v>8362.4056740334381</v>
      </c>
      <c r="O28">
        <f>(G28-F28)+N28</f>
        <v>12233.49770231721</v>
      </c>
      <c r="P28">
        <f>(H28-F28)+N28</f>
        <v>17974.705553203639</v>
      </c>
      <c r="Q28">
        <f>(J28-I28)+P28</f>
        <v>24175.97693096767</v>
      </c>
      <c r="R28">
        <f>(K28-J28)+Q28</f>
        <v>33287.895990447338</v>
      </c>
      <c r="U28">
        <v>4.9664883515675197E-2</v>
      </c>
      <c r="V28">
        <v>2.0001927081021401E-2</v>
      </c>
      <c r="W28">
        <v>2.3376159591085601E-2</v>
      </c>
      <c r="X28">
        <v>1.8429195673089802E-2</v>
      </c>
      <c r="Y28">
        <v>2.48090549598497E-2</v>
      </c>
      <c r="Z28">
        <v>2.2524035003153101E-2</v>
      </c>
      <c r="AC28" s="54">
        <f>1.013*10^5*50*10^(-6)*(M28*10^(-6))/(8.3145*(273.15+15))/3*12.011*10^6</f>
        <v>3.5563327128143283</v>
      </c>
      <c r="AD28" s="54">
        <f>1.013*10^5*50*10^(-6)*(N28*10^(-6))/(8.3145*(273.15+15))/3*12.011*10^6</f>
        <v>70.78053361205464</v>
      </c>
      <c r="AE28" s="54">
        <f>1.013*10^5*50*10^(-6)*(O28*10^(-6))/(8.3145*(273.15+15))/3*12.011*10^6</f>
        <v>103.54598055444617</v>
      </c>
      <c r="AF28" s="54">
        <f>1.013*10^5*50*10^(-6)*(P28*10^(-6))/(8.3145*(273.15+15))/3*12.011*10^6</f>
        <v>152.14034096980933</v>
      </c>
      <c r="AG28" s="54">
        <f>1.013*10^5*50*10^(-6)*(Q28*10^(-6))/(8.3145*(273.15+15))/3*12.011*10^6</f>
        <v>204.62874135371351</v>
      </c>
      <c r="AH28" s="54">
        <f>1.013*10^5*50*10^(-6)*(R28*10^(-6))/(8.3145*(273.15+15))/3*12.011*10^6</f>
        <v>281.75325771896001</v>
      </c>
      <c r="AK28" s="54">
        <f>1.013*10^5*50*10^(-6)*(U28*10^(-6))/(8.3145*(273.15+15))/3*12.011*10^6</f>
        <v>4.203702970229725E-4</v>
      </c>
      <c r="AL28" s="54">
        <f>1.013*10^5*50*10^(-6)*(V28*10^(-6))/(8.3145*(273.15+15))/3*12.011*10^6</f>
        <v>1.6929901839852314E-4</v>
      </c>
      <c r="AM28" s="54">
        <f>1.013*10^5*50*10^(-6)*(W28*10^(-6))/(8.3145*(273.15+15))/3*12.011*10^6</f>
        <v>1.9785897912072184E-4</v>
      </c>
      <c r="AN28" s="54">
        <f>1.013*10^5*50*10^(-6)*(X28*10^(-6))/(8.3145*(273.15+15))/3*12.011*10^6</f>
        <v>1.5598720686712392E-4</v>
      </c>
      <c r="AO28" s="54">
        <f>1.013*10^5*50*10^(-6)*(Y28*10^(-6))/(8.3145*(273.15+15))/3*12.011*10^6</f>
        <v>2.0998719948753486E-4</v>
      </c>
      <c r="AP28" s="54">
        <f>1.013*10^5*50*10^(-6)*(Z28*10^(-6))/(8.3145*(273.15+15))/3*12.011*10^6</f>
        <v>1.9064648125959819E-4</v>
      </c>
      <c r="AZ28" s="18">
        <v>25</v>
      </c>
      <c r="BA28">
        <f>C28-B28</f>
        <v>420.16491454260995</v>
      </c>
      <c r="BB28">
        <f>('7-24-13 Final'!S43-'7-24-13 Initial'!S43)*60</f>
        <v>141.00000000000136</v>
      </c>
      <c r="BC28">
        <f>BD28/60</f>
        <v>4.9664883515674454E-2</v>
      </c>
      <c r="BD28">
        <f>BA28/BB28</f>
        <v>2.9798930109404673</v>
      </c>
      <c r="BE28">
        <f>BD28/3</f>
        <v>0.99329767031348914</v>
      </c>
      <c r="BF28" s="48">
        <f>D28-B28</f>
        <v>8362.4056740334381</v>
      </c>
      <c r="BG28">
        <f>('7-29-13 Final #2'!S43-'7-24-13 Initial'!S43)*60</f>
        <v>6968</v>
      </c>
      <c r="BH28">
        <f>BI28/60</f>
        <v>2.0001927081021428E-2</v>
      </c>
      <c r="BI28">
        <f>BF28/BG28</f>
        <v>1.2001156248612856</v>
      </c>
      <c r="BJ28">
        <f>BI28/3</f>
        <v>0.40003854162042857</v>
      </c>
      <c r="BK28" s="48">
        <f>G28-F28</f>
        <v>3871.0920282837724</v>
      </c>
      <c r="BL28">
        <f>60*('8-1-13 Final #1'!S43-'7-30-13 Initial + cap'!S43)</f>
        <v>2760</v>
      </c>
      <c r="BM28">
        <f>BN28/60</f>
        <v>2.337615959108558E-2</v>
      </c>
      <c r="BN28">
        <f>BK28/BL28</f>
        <v>1.4025695754651348</v>
      </c>
      <c r="BO28">
        <f>BN28/3</f>
        <v>0.46752319182171159</v>
      </c>
      <c r="BP28" s="48">
        <f>H28-F28</f>
        <v>9612.299879170203</v>
      </c>
      <c r="BQ28">
        <f>('8-5-13 final 1'!S43-'7-30-13 Initial + cap'!S43)*60</f>
        <v>8693</v>
      </c>
      <c r="BR28">
        <f>BS28/60</f>
        <v>1.842919567308985E-2</v>
      </c>
      <c r="BS28">
        <f>BP28/BQ28</f>
        <v>1.1057517403853909</v>
      </c>
      <c r="BT28">
        <f>BS28/3</f>
        <v>0.36858391346179697</v>
      </c>
      <c r="BU28" s="48">
        <f>'8-8-13 Final'!U43-'8-5-13 initial'!U43</f>
        <v>6201.2713777640229</v>
      </c>
      <c r="BV28">
        <f>('8-8-13 Final'!S43-'8-5-13 initial'!S43)*60</f>
        <v>4165.9999999999964</v>
      </c>
      <c r="BW28">
        <f>BX28/60</f>
        <v>2.480905495984969E-2</v>
      </c>
      <c r="BX28">
        <f>BU28/BV28</f>
        <v>1.4885432975909814</v>
      </c>
      <c r="BY28">
        <f>BX28/3</f>
        <v>0.49618109919699377</v>
      </c>
      <c r="BZ28" s="48">
        <v>15313.1904372437</v>
      </c>
      <c r="CA28">
        <v>11331</v>
      </c>
      <c r="CB28">
        <f>CC28/60</f>
        <v>2.2524035003153167E-2</v>
      </c>
      <c r="CC28">
        <v>1.3514421001891901</v>
      </c>
      <c r="CD28">
        <v>0.45048070006306201</v>
      </c>
    </row>
    <row r="29" spans="1:82">
      <c r="A29">
        <v>26</v>
      </c>
      <c r="B29">
        <v>1375.8305978749099</v>
      </c>
      <c r="C29">
        <v>1807.46926864232</v>
      </c>
      <c r="D29">
        <v>8959.5760617702508</v>
      </c>
      <c r="F29">
        <v>1068.0390470106499</v>
      </c>
      <c r="G29">
        <v>5307.7738718988403</v>
      </c>
      <c r="H29">
        <v>6936.1104408086303</v>
      </c>
      <c r="I29">
        <v>774.49858718838595</v>
      </c>
      <c r="J29">
        <v>6520.4271244359197</v>
      </c>
      <c r="K29">
        <v>11413.9803852511</v>
      </c>
      <c r="M29">
        <f>C29-B29</f>
        <v>431.63867076741008</v>
      </c>
      <c r="N29">
        <f>D29-B29</f>
        <v>7583.7454638953404</v>
      </c>
      <c r="O29">
        <f>(G29-F29)+N29</f>
        <v>11823.48028878353</v>
      </c>
      <c r="P29">
        <f>(H29-F29)+N29</f>
        <v>13451.81685769332</v>
      </c>
      <c r="Q29">
        <f>(J29-I29)+P29</f>
        <v>19197.745394940852</v>
      </c>
      <c r="R29">
        <f>(K29-J29)+Q29</f>
        <v>24091.298655756033</v>
      </c>
      <c r="U29">
        <v>5.0661815817770101E-2</v>
      </c>
      <c r="V29">
        <v>1.8134255054747299E-2</v>
      </c>
      <c r="W29">
        <v>2.56022634353151E-2</v>
      </c>
      <c r="X29">
        <v>1.1251862620413401E-2</v>
      </c>
      <c r="Y29">
        <v>2.2987392131731201E-2</v>
      </c>
      <c r="Z29">
        <v>1.5650899967729798E-2</v>
      </c>
      <c r="AC29" s="54">
        <f>1.013*10^5*50*10^(-6)*(M29*10^(-6))/(8.3145*(273.15+15))/3*12.011*10^6</f>
        <v>3.6534481386597575</v>
      </c>
      <c r="AD29" s="54">
        <f>1.013*10^5*50*10^(-6)*(N29*10^(-6))/(8.3145*(273.15+15))/3*12.011*10^6</f>
        <v>64.189848189176075</v>
      </c>
      <c r="AE29" s="54">
        <f>1.013*10^5*50*10^(-6)*(O29*10^(-6))/(8.3145*(273.15+15))/3*12.011*10^6</f>
        <v>100.07553766379999</v>
      </c>
      <c r="AF29" s="54">
        <f>1.013*10^5*50*10^(-6)*(P29*10^(-6))/(8.3145*(273.15+15))/3*12.011*10^6</f>
        <v>113.85799880477768</v>
      </c>
      <c r="AG29" s="54">
        <f>1.013*10^5*50*10^(-6)*(Q29*10^(-6))/(8.3145*(273.15+15))/3*12.011*10^6</f>
        <v>162.4923157485226</v>
      </c>
      <c r="AH29" s="54">
        <f>1.013*10^5*50*10^(-6)*(R29*10^(-6))/(8.3145*(273.15+15))/3*12.011*10^6</f>
        <v>203.91201296974634</v>
      </c>
      <c r="AK29" s="54">
        <f>1.013*10^5*50*10^(-6)*(U29*10^(-6))/(8.3145*(273.15+15))/3*12.011*10^6</f>
        <v>4.2880846697883606E-4</v>
      </c>
      <c r="AL29" s="54">
        <f>1.013*10^5*50*10^(-6)*(V29*10^(-6))/(8.3145*(273.15+15))/3*12.011*10^6</f>
        <v>1.5349078954848374E-4</v>
      </c>
      <c r="AM29" s="54">
        <f>1.013*10^5*50*10^(-6)*(W29*10^(-6))/(8.3145*(273.15+15))/3*12.011*10^6</f>
        <v>2.1670102339748699E-4</v>
      </c>
      <c r="AN29" s="54">
        <f>1.013*10^5*50*10^(-6)*(X29*10^(-6))/(8.3145*(273.15+15))/3*12.011*10^6</f>
        <v>9.5237288341006572E-5</v>
      </c>
      <c r="AO29" s="54">
        <f>1.013*10^5*50*10^(-6)*(Y29*10^(-6))/(8.3145*(273.15+15))/3*12.011*10^6</f>
        <v>1.9456839871877455E-4</v>
      </c>
      <c r="AP29" s="54">
        <f>1.013*10^5*50*10^(-6)*(Z29*10^(-6))/(8.3145*(273.15+15))/3*12.011*10^6</f>
        <v>1.3247133592963911E-4</v>
      </c>
      <c r="AZ29">
        <v>26</v>
      </c>
      <c r="BA29">
        <f>C29-B29</f>
        <v>431.63867076741008</v>
      </c>
      <c r="BB29">
        <f>('7-24-13 Final'!S44-'7-24-13 Initial'!S44)*60</f>
        <v>142.00000000000045</v>
      </c>
      <c r="BC29">
        <f>BD29/60</f>
        <v>5.0661815817770975E-2</v>
      </c>
      <c r="BD29">
        <f>BA29/BB29</f>
        <v>3.0397089490662585</v>
      </c>
      <c r="BE29">
        <f>BD29/3</f>
        <v>1.0132363163554194</v>
      </c>
      <c r="BF29" s="48">
        <f>D29-B29</f>
        <v>7583.7454638953404</v>
      </c>
      <c r="BG29">
        <f>('7-29-13 Final #2'!S44-'7-24-13 Initial'!S44)*60</f>
        <v>6969.9999999999982</v>
      </c>
      <c r="BH29">
        <f>BI29/60</f>
        <v>1.8134255054747351E-2</v>
      </c>
      <c r="BI29">
        <f>BF29/BG29</f>
        <v>1.088055303284841</v>
      </c>
      <c r="BJ29">
        <f>BI29/3</f>
        <v>0.362685101094947</v>
      </c>
      <c r="BK29" s="48">
        <f>G29-F29</f>
        <v>4239.7348248881899</v>
      </c>
      <c r="BL29">
        <f>60*('8-1-13 Final #1'!S44-'7-30-13 Initial + cap'!S44)</f>
        <v>2760</v>
      </c>
      <c r="BM29">
        <f>BN29/60</f>
        <v>2.5602263435315156E-2</v>
      </c>
      <c r="BN29">
        <f>BK29/BL29</f>
        <v>1.5361358061189094</v>
      </c>
      <c r="BO29">
        <f>BN29/3</f>
        <v>0.51204526870630318</v>
      </c>
      <c r="BP29" s="48">
        <f>H29-F29</f>
        <v>5868.0713937979799</v>
      </c>
      <c r="BQ29">
        <f>('8-5-13 final 1'!S44-'7-30-13 Initial + cap'!S44)*60</f>
        <v>8692</v>
      </c>
      <c r="BR29">
        <f>BS29/60</f>
        <v>1.1251862620413368E-2</v>
      </c>
      <c r="BS29">
        <f>BP29/BQ29</f>
        <v>0.6751117572248021</v>
      </c>
      <c r="BT29">
        <f>BS29/3</f>
        <v>0.22503725240826736</v>
      </c>
      <c r="BU29" s="48">
        <f>'8-8-13 Final'!U44-'8-5-13 initial'!U44</f>
        <v>5745.9285372475351</v>
      </c>
      <c r="BV29">
        <f>('8-8-13 Final'!S44-'8-5-13 initial'!S44)*60</f>
        <v>4165.9999999999964</v>
      </c>
      <c r="BW29">
        <f>BX29/60</f>
        <v>2.2987392131731236E-2</v>
      </c>
      <c r="BX29">
        <f>BU29/BV29</f>
        <v>1.3792435279038742</v>
      </c>
      <c r="BY29">
        <f>BX29/3</f>
        <v>0.4597478426346247</v>
      </c>
      <c r="BZ29" s="48">
        <v>10639.481798062699</v>
      </c>
      <c r="CA29">
        <v>11330</v>
      </c>
      <c r="CB29">
        <f>CC29/60</f>
        <v>1.5650899967729785E-2</v>
      </c>
      <c r="CC29">
        <v>0.93905399806378698</v>
      </c>
      <c r="CD29">
        <v>0.31301799935459601</v>
      </c>
    </row>
    <row r="30" spans="1:82">
      <c r="A30" s="18">
        <v>27</v>
      </c>
      <c r="B30">
        <v>1678.2294096788601</v>
      </c>
      <c r="C30">
        <v>2054.5095568401198</v>
      </c>
      <c r="D30">
        <v>9981.0440866511708</v>
      </c>
      <c r="F30">
        <v>1040.10541984211</v>
      </c>
      <c r="G30">
        <v>5913.5302317344303</v>
      </c>
      <c r="H30">
        <v>12738.475335241101</v>
      </c>
      <c r="I30">
        <v>1516.1567450293601</v>
      </c>
      <c r="J30">
        <v>7233.48592581296</v>
      </c>
      <c r="K30">
        <v>15094.933599268301</v>
      </c>
      <c r="M30">
        <f>C30-B30</f>
        <v>376.28014716125972</v>
      </c>
      <c r="N30">
        <f>D30-B30</f>
        <v>8302.8146769723098</v>
      </c>
      <c r="O30">
        <f>(G30-F30)+N30</f>
        <v>13176.23948886463</v>
      </c>
      <c r="P30">
        <f>(H30-F30)+N30</f>
        <v>20001.184592371301</v>
      </c>
      <c r="Q30">
        <f>(J30-I30)+P30</f>
        <v>25718.5137731549</v>
      </c>
      <c r="R30">
        <f>(K30-J30)+Q30</f>
        <v>33579.961446610243</v>
      </c>
      <c r="U30">
        <v>4.38554950071409E-2</v>
      </c>
      <c r="V30">
        <v>1.9856542490487201E-2</v>
      </c>
      <c r="W30">
        <v>2.9428893791620302E-2</v>
      </c>
      <c r="X30">
        <v>2.2423557437989201E-2</v>
      </c>
      <c r="Y30">
        <v>2.28839624591082E-2</v>
      </c>
      <c r="Z30">
        <v>1.9976427537350998E-2</v>
      </c>
      <c r="AC30" s="54">
        <f>1.013*10^5*50*10^(-6)*(M30*10^(-6))/(8.3145*(273.15+15))/3*12.011*10^6</f>
        <v>3.1848861011846092</v>
      </c>
      <c r="AD30" s="54">
        <f>1.013*10^5*50*10^(-6)*(N30*10^(-6))/(8.3145*(273.15+15))/3*12.011*10^6</f>
        <v>70.276147346322745</v>
      </c>
      <c r="AE30" s="54">
        <f>1.013*10^5*50*10^(-6)*(O30*10^(-6))/(8.3145*(273.15+15))/3*12.011*10^6</f>
        <v>111.52547465115187</v>
      </c>
      <c r="AF30" s="54">
        <f>1.013*10^5*50*10^(-6)*(P30*10^(-6))/(8.3145*(273.15+15))/3*12.011*10^6</f>
        <v>169.29273387408085</v>
      </c>
      <c r="AG30" s="54">
        <f>1.013*10^5*50*10^(-6)*(Q30*10^(-6))/(8.3145*(273.15+15))/3*12.011*10^6</f>
        <v>217.68498199332896</v>
      </c>
      <c r="AH30" s="54">
        <f>1.013*10^5*50*10^(-6)*(R30*10^(-6))/(8.3145*(273.15+15))/3*12.011*10^6</f>
        <v>284.22533927571226</v>
      </c>
      <c r="AK30" s="54">
        <f>1.013*10^5*50*10^(-6)*(U30*10^(-6))/(8.3145*(273.15+15))/3*12.011*10^6</f>
        <v>3.7119884629192162E-4</v>
      </c>
      <c r="AL30" s="54">
        <f>1.013*10^5*50*10^(-6)*(V30*10^(-6))/(8.3145*(273.15+15))/3*12.011*10^6</f>
        <v>1.6806846354408287E-4</v>
      </c>
      <c r="AM30" s="54">
        <f>1.013*10^5*50*10^(-6)*(W30*10^(-6))/(8.3145*(273.15+15))/3*12.011*10^6</f>
        <v>2.4909014072964456E-4</v>
      </c>
      <c r="AN30" s="54">
        <f>1.013*10^5*50*10^(-6)*(X30*10^(-6))/(8.3145*(273.15+15))/3*12.011*10^6</f>
        <v>1.8979602554678528E-4</v>
      </c>
      <c r="AO30" s="54">
        <f>1.013*10^5*50*10^(-6)*(Y30*10^(-6))/(8.3145*(273.15+15))/3*12.011*10^6</f>
        <v>1.9369295596881228E-4</v>
      </c>
      <c r="AP30" s="54">
        <f>1.013*10^5*50*10^(-6)*(Z30*10^(-6))/(8.3145*(273.15+15))/3*12.011*10^6</f>
        <v>1.6908318680912066E-4</v>
      </c>
      <c r="AZ30" s="18">
        <v>27</v>
      </c>
      <c r="BA30">
        <f>C30-B30</f>
        <v>376.28014716125972</v>
      </c>
      <c r="BB30">
        <f>('7-24-13 Final'!S45-'7-24-13 Initial'!S45)*60</f>
        <v>142.99999999999955</v>
      </c>
      <c r="BC30">
        <f>BD30/60</f>
        <v>4.3855495007139964E-2</v>
      </c>
      <c r="BD30">
        <f>BA30/BB30</f>
        <v>2.631329700428398</v>
      </c>
      <c r="BE30">
        <f>BD30/3</f>
        <v>0.87710990014279933</v>
      </c>
      <c r="BF30" s="48">
        <f>D30-B30</f>
        <v>8302.8146769723098</v>
      </c>
      <c r="BG30">
        <f>('7-29-13 Final #2'!S45-'7-24-13 Initial'!S45)*60</f>
        <v>6968.9999999999982</v>
      </c>
      <c r="BH30">
        <f>BI30/60</f>
        <v>1.9856542490487187E-2</v>
      </c>
      <c r="BI30">
        <f>BF30/BG30</f>
        <v>1.1913925494292312</v>
      </c>
      <c r="BJ30">
        <f>BI30/3</f>
        <v>0.39713084980974372</v>
      </c>
      <c r="BK30" s="48">
        <f>G30-F30</f>
        <v>4873.4248118923206</v>
      </c>
      <c r="BL30">
        <f>60*('8-1-13 Final #1'!S45-'7-30-13 Initial + cap'!S45)</f>
        <v>2760</v>
      </c>
      <c r="BM30">
        <f>BN30/60</f>
        <v>2.9428893791620291E-2</v>
      </c>
      <c r="BN30">
        <f>BK30/BL30</f>
        <v>1.7657336274972175</v>
      </c>
      <c r="BO30">
        <f>BN30/3</f>
        <v>0.58857787583240584</v>
      </c>
      <c r="BP30" s="48">
        <f>H30-F30</f>
        <v>11698.369915398991</v>
      </c>
      <c r="BQ30">
        <f>('8-5-13 final 1'!S45-'7-30-13 Initial + cap'!S45)*60</f>
        <v>8694.9999999999982</v>
      </c>
      <c r="BR30">
        <f>BS30/60</f>
        <v>2.2423557437989253E-2</v>
      </c>
      <c r="BS30">
        <f>BP30/BQ30</f>
        <v>1.3454134462793552</v>
      </c>
      <c r="BT30">
        <f>BS30/3</f>
        <v>0.44847114875978505</v>
      </c>
      <c r="BU30" s="48">
        <f>'8-8-13 Final'!U45-'8-5-13 initial'!U45</f>
        <v>5717.329180783594</v>
      </c>
      <c r="BV30">
        <f>('8-8-13 Final'!S45-'8-5-13 initial'!S45)*60</f>
        <v>4163.9999999999982</v>
      </c>
      <c r="BW30">
        <f>BX30/60</f>
        <v>2.2883962459108217E-2</v>
      </c>
      <c r="BX30">
        <f>BU30/BV30</f>
        <v>1.373037747546493</v>
      </c>
      <c r="BY30">
        <f>BX30/3</f>
        <v>0.45767924918216435</v>
      </c>
      <c r="BZ30" s="48">
        <v>13578.776854239</v>
      </c>
      <c r="CA30">
        <v>11329</v>
      </c>
      <c r="CB30">
        <f>CC30/60</f>
        <v>1.9976427537351002E-2</v>
      </c>
      <c r="CC30">
        <v>1.1985856522410601</v>
      </c>
      <c r="CD30">
        <v>0.39952855074701998</v>
      </c>
    </row>
    <row r="31" spans="1:82">
      <c r="A31" s="18">
        <v>28</v>
      </c>
      <c r="B31">
        <v>1184.55681959</v>
      </c>
      <c r="C31">
        <v>1465.0240757220899</v>
      </c>
      <c r="D31">
        <v>17826.766774930002</v>
      </c>
      <c r="F31">
        <v>20824.1008168023</v>
      </c>
      <c r="G31">
        <v>24194.7161338937</v>
      </c>
      <c r="H31">
        <v>23971.744324090701</v>
      </c>
      <c r="I31">
        <v>23885.680555868799</v>
      </c>
      <c r="J31">
        <v>31369.600417584501</v>
      </c>
      <c r="K31">
        <v>41050.790462323399</v>
      </c>
      <c r="M31">
        <f>C31-B31</f>
        <v>280.46725613208991</v>
      </c>
      <c r="N31">
        <f>D31-B31</f>
        <v>16642.20995534</v>
      </c>
      <c r="O31">
        <f>(G31-F31)+N31</f>
        <v>20012.825272431401</v>
      </c>
      <c r="P31">
        <f>(H31-F31)+N31</f>
        <v>19789.853462628402</v>
      </c>
      <c r="Q31">
        <f>(J31-I31)+P31</f>
        <v>27273.773324344103</v>
      </c>
      <c r="R31">
        <f>(K31-J31)+Q31</f>
        <v>36954.963369083001</v>
      </c>
      <c r="U31">
        <v>3.2688491390686102E-2</v>
      </c>
      <c r="V31">
        <v>3.9806280987705799E-2</v>
      </c>
      <c r="W31">
        <v>2.03539572288127E-2</v>
      </c>
      <c r="X31">
        <v>6.0334358966615299E-3</v>
      </c>
      <c r="Y31">
        <v>2.9954850551215599E-2</v>
      </c>
      <c r="Z31">
        <v>2.5252464039860301E-2</v>
      </c>
      <c r="AC31" s="54">
        <f>1.013*10^5*50*10^(-6)*(M31*10^(-6))/(8.3145*(273.15+15))/3*12.011*10^6</f>
        <v>2.3739128216872434</v>
      </c>
      <c r="AD31" s="54">
        <f>1.013*10^5*50*10^(-6)*(N31*10^(-6))/(8.3145*(273.15+15))/3*12.011*10^6</f>
        <v>140.86191785463276</v>
      </c>
      <c r="AE31" s="54">
        <f>1.013*10^5*50*10^(-6)*(O31*10^(-6))/(8.3145*(273.15+15))/3*12.011*10^6</f>
        <v>169.39126216586408</v>
      </c>
      <c r="AF31" s="54">
        <f>1.013*10^5*50*10^(-6)*(P31*10^(-6))/(8.3145*(273.15+15))/3*12.011*10^6</f>
        <v>167.50399858484604</v>
      </c>
      <c r="AG31" s="54">
        <f>1.013*10^5*50*10^(-6)*(Q31*10^(-6))/(8.3145*(273.15+15))/3*12.011*10^6</f>
        <v>230.84890936416173</v>
      </c>
      <c r="AH31" s="54">
        <f>1.013*10^5*50*10^(-6)*(R31*10^(-6))/(8.3145*(273.15+15))/3*12.011*10^6</f>
        <v>312.79181240868945</v>
      </c>
      <c r="AK31" s="54">
        <f>1.013*10^5*50*10^(-6)*(U31*10^(-6))/(8.3145*(273.15+15))/3*12.011*10^6</f>
        <v>2.766798160474611E-4</v>
      </c>
      <c r="AL31" s="54">
        <f>1.013*10^5*50*10^(-6)*(V31*10^(-6))/(8.3145*(273.15+15))/3*12.011*10^6</f>
        <v>3.3692575070472914E-4</v>
      </c>
      <c r="AM31" s="54">
        <f>1.013*10^5*50*10^(-6)*(W31*10^(-6))/(8.3145*(273.15+15))/3*12.011*10^6</f>
        <v>1.7227864922241028E-4</v>
      </c>
      <c r="AN31" s="54">
        <f>1.013*10^5*50*10^(-6)*(X31*10^(-6))/(8.3145*(273.15+15))/3*12.011*10^6</f>
        <v>5.106781815260221E-5</v>
      </c>
      <c r="AO31" s="54">
        <f>1.013*10^5*50*10^(-6)*(Y31*10^(-6))/(8.3145*(273.15+15))/3*12.011*10^6</f>
        <v>2.5354190993962433E-4</v>
      </c>
      <c r="AP31" s="54">
        <f>1.013*10^5*50*10^(-6)*(Z31*10^(-6))/(8.3145*(273.15+15))/3*12.011*10^6</f>
        <v>2.1374027396334449E-4</v>
      </c>
      <c r="AZ31" s="18">
        <v>28</v>
      </c>
      <c r="BA31">
        <f>C31-B31</f>
        <v>280.46725613208991</v>
      </c>
      <c r="BB31">
        <f>('7-24-13 Final'!S46-'7-24-13 Initial'!S46)*60</f>
        <v>142.99999999999955</v>
      </c>
      <c r="BC31">
        <f>BD31/60</f>
        <v>3.2688491390686573E-2</v>
      </c>
      <c r="BD31">
        <f>BA31/BB31</f>
        <v>1.9613094834411944</v>
      </c>
      <c r="BE31">
        <f>BD31/3</f>
        <v>0.6537698278137315</v>
      </c>
      <c r="BF31" s="48">
        <f>D31-B31</f>
        <v>16642.20995534</v>
      </c>
      <c r="BG31">
        <f>('7-29-13 Final #2'!S46-'7-24-13 Initial'!S46)*60</f>
        <v>6968</v>
      </c>
      <c r="BH31">
        <f>BI31/60</f>
        <v>3.9806280987705701E-2</v>
      </c>
      <c r="BI31">
        <f>BF31/BG31</f>
        <v>2.3883768592623422</v>
      </c>
      <c r="BJ31">
        <f>BI31/3</f>
        <v>0.79612561975411411</v>
      </c>
      <c r="BK31" s="48">
        <f>G31-F31</f>
        <v>3370.6153170914004</v>
      </c>
      <c r="BL31">
        <f>60*('8-1-13 Final #1'!S46-'7-30-13 Initial + cap'!S46)</f>
        <v>2760</v>
      </c>
      <c r="BM31">
        <f>BN31/60</f>
        <v>2.0353957228812801E-2</v>
      </c>
      <c r="BN31">
        <f>BK31/BL31</f>
        <v>1.2212374337287681</v>
      </c>
      <c r="BO31">
        <f>BN31/3</f>
        <v>0.40707914457625605</v>
      </c>
      <c r="BP31" s="48">
        <f>H31-F31</f>
        <v>3147.6435072884015</v>
      </c>
      <c r="BQ31">
        <f>('8-5-13 final 1'!S46-'7-30-13 Initial + cap'!S46)*60</f>
        <v>8694.9999999999982</v>
      </c>
      <c r="BR31">
        <f>BS31/60</f>
        <v>6.0334358966616878E-3</v>
      </c>
      <c r="BS31">
        <f>BP31/BQ31</f>
        <v>0.36200615379970125</v>
      </c>
      <c r="BT31">
        <f>BS31/3</f>
        <v>0.12066871793323375</v>
      </c>
      <c r="BU31" s="48">
        <f>'8-8-13 Final'!U46-'8-5-13 initial'!U46</f>
        <v>7483.9198617156908</v>
      </c>
      <c r="BV31">
        <f>('8-8-13 Final'!S46-'8-5-13 initial'!S46)*60</f>
        <v>4163.9999999999982</v>
      </c>
      <c r="BW31">
        <f>BX31/60</f>
        <v>2.9954850551215554E-2</v>
      </c>
      <c r="BX31">
        <f>BU31/BV31</f>
        <v>1.7972910330729333</v>
      </c>
      <c r="BY31">
        <f>BX31/3</f>
        <v>0.59909701102431112</v>
      </c>
      <c r="BZ31" s="48">
        <v>17165.1099064546</v>
      </c>
      <c r="CA31">
        <v>11329</v>
      </c>
      <c r="CB31">
        <f>CC31/60</f>
        <v>2.5252464039860333E-2</v>
      </c>
      <c r="CC31">
        <v>1.51514784239162</v>
      </c>
      <c r="CD31">
        <v>0.50504928079720501</v>
      </c>
    </row>
    <row r="32" spans="1:82">
      <c r="A32">
        <v>29</v>
      </c>
      <c r="B32">
        <v>1537.97484572708</v>
      </c>
      <c r="C32">
        <v>1737.40637556754</v>
      </c>
      <c r="D32">
        <v>22233.404256176698</v>
      </c>
      <c r="F32">
        <v>1345.68997381242</v>
      </c>
      <c r="G32">
        <v>11976.566964338001</v>
      </c>
      <c r="H32">
        <v>20662.085406861599</v>
      </c>
      <c r="I32">
        <v>2147.0991597756802</v>
      </c>
      <c r="J32">
        <v>12764.777438400801</v>
      </c>
      <c r="K32">
        <v>19918.2001336045</v>
      </c>
      <c r="M32">
        <f>C32-B32</f>
        <v>199.43152984045992</v>
      </c>
      <c r="N32">
        <f>D32-B32</f>
        <v>20695.429410449618</v>
      </c>
      <c r="O32">
        <f>(G32-F32)+N32</f>
        <v>31326.306400975198</v>
      </c>
      <c r="P32">
        <f>(H32-F32)+N32</f>
        <v>40011.824843498798</v>
      </c>
      <c r="Q32">
        <f>(J32-I32)+P32</f>
        <v>50629.503122123919</v>
      </c>
      <c r="R32">
        <f>(K32-J32)+Q32</f>
        <v>57782.925817327618</v>
      </c>
      <c r="U32">
        <v>4.0046491935837002E-2</v>
      </c>
      <c r="V32">
        <v>4.9501122776620797E-2</v>
      </c>
      <c r="W32">
        <v>6.4196117092545801E-2</v>
      </c>
      <c r="X32">
        <v>3.70258681867916E-2</v>
      </c>
      <c r="Y32">
        <v>4.2508120260329699E-2</v>
      </c>
      <c r="Z32">
        <v>2.61485844645961E-2</v>
      </c>
      <c r="AC32" s="54">
        <f>1.013*10^5*50*10^(-6)*(M32*10^(-6))/(8.3145*(273.15+15))/3*12.011*10^6</f>
        <v>1.6880154648569741</v>
      </c>
      <c r="AD32" s="54">
        <f>1.013*10^5*50*10^(-6)*(N32*10^(-6))/(8.3145*(273.15+15))/3*12.011*10^6</f>
        <v>175.16891599157501</v>
      </c>
      <c r="AE32" s="54">
        <f>1.013*10^5*50*10^(-6)*(O32*10^(-6))/(8.3145*(273.15+15))/3*12.011*10^6</f>
        <v>265.1500979007493</v>
      </c>
      <c r="AF32" s="54">
        <f>1.013*10^5*50*10^(-6)*(P32*10^(-6))/(8.3145*(273.15+15))/3*12.011*10^6</f>
        <v>338.66550172385058</v>
      </c>
      <c r="AG32" s="54">
        <f>1.013*10^5*50*10^(-6)*(Q32*10^(-6))/(8.3145*(273.15+15))/3*12.011*10^6</f>
        <v>428.53496794884001</v>
      </c>
      <c r="AH32" s="54">
        <f>1.013*10^5*50*10^(-6)*(R32*10^(-6))/(8.3145*(273.15+15))/3*12.011*10^6</f>
        <v>489.08250597265425</v>
      </c>
      <c r="AK32" s="54">
        <f>1.013*10^5*50*10^(-6)*(U32*10^(-6))/(8.3145*(273.15+15))/3*12.011*10^6</f>
        <v>3.3895892868615363E-4</v>
      </c>
      <c r="AL32" s="54">
        <f>1.013*10^5*50*10^(-6)*(V32*10^(-6))/(8.3145*(273.15+15))/3*12.011*10^6</f>
        <v>4.1898420395994796E-4</v>
      </c>
      <c r="AM32" s="54">
        <f>1.013*10^5*50*10^(-6)*(W32*10^(-6))/(8.3145*(273.15+15))/3*12.011*10^6</f>
        <v>5.4336462505540073E-4</v>
      </c>
      <c r="AN32" s="54">
        <f>1.013*10^5*50*10^(-6)*(X32*10^(-6))/(8.3145*(273.15+15))/3*12.011*10^6</f>
        <v>3.1339196038389041E-4</v>
      </c>
      <c r="AO32" s="54">
        <f>1.013*10^5*50*10^(-6)*(Y32*10^(-6))/(8.3145*(273.15+15))/3*12.011*10^6</f>
        <v>3.597944840459191E-4</v>
      </c>
      <c r="AP32" s="54">
        <f>1.013*10^5*50*10^(-6)*(Z32*10^(-6))/(8.3145*(273.15+15))/3*12.011*10^6</f>
        <v>2.2132515854272027E-4</v>
      </c>
      <c r="AZ32">
        <v>29</v>
      </c>
      <c r="BA32">
        <f>C32-B32</f>
        <v>199.43152984045992</v>
      </c>
      <c r="BB32">
        <f>('7-24-13 Final'!S47-'7-24-13 Initial'!S47)*60</f>
        <v>82.999999999999545</v>
      </c>
      <c r="BC32">
        <f>BD32/60</f>
        <v>4.0046491935835545E-2</v>
      </c>
      <c r="BD32">
        <f>BA32/BB32</f>
        <v>2.4027895161501327</v>
      </c>
      <c r="BE32">
        <f>BD32/3</f>
        <v>0.80092983871671086</v>
      </c>
      <c r="BF32" s="48">
        <f>D32-B32</f>
        <v>20695.429410449618</v>
      </c>
      <c r="BG32">
        <f>('7-29-13 Final #2'!S47-'7-24-13 Initial'!S47)*60</f>
        <v>6968</v>
      </c>
      <c r="BH32">
        <f>BI32/60</f>
        <v>4.9501122776620783E-2</v>
      </c>
      <c r="BI32">
        <f>BF32/BG32</f>
        <v>2.970067366597247</v>
      </c>
      <c r="BJ32">
        <f>BI32/3</f>
        <v>0.99002245553241564</v>
      </c>
      <c r="BK32" s="48">
        <f>G32-F32</f>
        <v>10630.876990525581</v>
      </c>
      <c r="BL32">
        <f>60*('8-1-13 Final #1'!S47-'7-30-13 Initial + cap'!S47)</f>
        <v>2760</v>
      </c>
      <c r="BM32">
        <f>BN32/60</f>
        <v>6.4196117092545774E-2</v>
      </c>
      <c r="BN32">
        <f>BK32/BL32</f>
        <v>3.8517670255527467</v>
      </c>
      <c r="BO32">
        <f>BN32/3</f>
        <v>1.2839223418509156</v>
      </c>
      <c r="BP32" s="48">
        <f>H32-F32</f>
        <v>19316.39543304918</v>
      </c>
      <c r="BQ32">
        <f>('8-5-13 final 1'!S47-'7-30-13 Initial + cap'!S47)*60</f>
        <v>8694.9999999999982</v>
      </c>
      <c r="BR32">
        <f>BS32/60</f>
        <v>3.7025868186791613E-2</v>
      </c>
      <c r="BS32">
        <f>BP32/BQ32</f>
        <v>2.2215520912074966</v>
      </c>
      <c r="BT32">
        <f>BS32/3</f>
        <v>0.74051736373583221</v>
      </c>
      <c r="BU32" s="48">
        <f>'8-8-13 Final'!U47-'8-5-13 initial'!U47</f>
        <v>10617.678278625162</v>
      </c>
      <c r="BV32">
        <f>('8-8-13 Final'!S47-'8-5-13 initial'!S47)*60</f>
        <v>4163</v>
      </c>
      <c r="BW32">
        <f>BX32/60</f>
        <v>4.2508120260329733E-2</v>
      </c>
      <c r="BX32">
        <f>BU32/BV32</f>
        <v>2.5504872156197842</v>
      </c>
      <c r="BY32">
        <f>BX32/3</f>
        <v>0.8501624052065947</v>
      </c>
      <c r="BZ32" s="48">
        <v>17771.100973828801</v>
      </c>
      <c r="CA32">
        <v>11327</v>
      </c>
      <c r="CB32">
        <f>CC32/60</f>
        <v>2.6148584464596166E-2</v>
      </c>
      <c r="CC32">
        <v>1.56891506787577</v>
      </c>
      <c r="CD32">
        <v>0.52297168929192195</v>
      </c>
    </row>
    <row r="33" spans="1:82">
      <c r="A33" s="18">
        <v>30</v>
      </c>
      <c r="B33">
        <v>1596.5120663318201</v>
      </c>
      <c r="C33">
        <v>1830.5090607530201</v>
      </c>
      <c r="D33">
        <v>21322.072710792399</v>
      </c>
      <c r="F33">
        <v>1646.10314805192</v>
      </c>
      <c r="G33">
        <v>10483.4887650577</v>
      </c>
      <c r="H33">
        <v>16957.452795689602</v>
      </c>
      <c r="I33">
        <v>1355.80645616687</v>
      </c>
      <c r="J33">
        <v>13771.4819967657</v>
      </c>
      <c r="K33">
        <v>19792.812223621298</v>
      </c>
      <c r="M33">
        <f>C33-B33</f>
        <v>233.99699442120004</v>
      </c>
      <c r="N33">
        <f>D33-B33</f>
        <v>19725.56064446058</v>
      </c>
      <c r="O33">
        <f>(G33-F33)+N33</f>
        <v>28562.946261466361</v>
      </c>
      <c r="P33">
        <f>(H33-F33)+N33</f>
        <v>35036.910292098262</v>
      </c>
      <c r="Q33">
        <f>(J33-I33)+P33</f>
        <v>47452.585832697092</v>
      </c>
      <c r="R33">
        <f>(K33-J33)+Q33</f>
        <v>53473.916059552692</v>
      </c>
      <c r="U33">
        <v>4.6987348277348601E-2</v>
      </c>
      <c r="V33">
        <v>4.7167768159877103E-2</v>
      </c>
      <c r="W33">
        <v>5.3365855175155803E-2</v>
      </c>
      <c r="X33">
        <v>2.93489546629053E-2</v>
      </c>
      <c r="Y33">
        <v>4.9682575192472302E-2</v>
      </c>
      <c r="Z33">
        <v>2.71284037660082E-2</v>
      </c>
      <c r="AC33" s="54">
        <f>1.013*10^5*50*10^(-6)*(M33*10^(-6))/(8.3145*(273.15+15))/3*12.011*10^6</f>
        <v>1.980582236063771</v>
      </c>
      <c r="AD33" s="54">
        <f>1.013*10^5*50*10^(-6)*(N33*10^(-6))/(8.3145*(273.15+15))/3*12.011*10^6</f>
        <v>166.95981546879946</v>
      </c>
      <c r="AE33" s="54">
        <f>1.013*10^5*50*10^(-6)*(O33*10^(-6))/(8.3145*(273.15+15))/3*12.011*10^6</f>
        <v>241.76064361439953</v>
      </c>
      <c r="AF33" s="54">
        <f>1.013*10^5*50*10^(-6)*(P33*10^(-6))/(8.3145*(273.15+15))/3*12.011*10^6</f>
        <v>296.55715152554416</v>
      </c>
      <c r="AG33" s="54">
        <f>1.013*10^5*50*10^(-6)*(Q33*10^(-6))/(8.3145*(273.15+15))/3*12.011*10^6</f>
        <v>401.64510996392664</v>
      </c>
      <c r="AH33" s="54">
        <f>1.013*10^5*50*10^(-6)*(R33*10^(-6))/(8.3145*(273.15+15))/3*12.011*10^6</f>
        <v>452.61046408859306</v>
      </c>
      <c r="AK33" s="54">
        <f>1.013*10^5*50*10^(-6)*(U33*10^(-6))/(8.3145*(273.15+15))/3*12.011*10^6</f>
        <v>3.9770727631801948E-4</v>
      </c>
      <c r="AL33" s="54">
        <f>1.013*10^5*50*10^(-6)*(V33*10^(-6))/(8.3145*(273.15+15))/3*12.011*10^6</f>
        <v>3.9923437462649367E-4</v>
      </c>
      <c r="AM33" s="54">
        <f>1.013*10^5*50*10^(-6)*(W33*10^(-6))/(8.3145*(273.15+15))/3*12.011*10^6</f>
        <v>4.516958221352671E-4</v>
      </c>
      <c r="AN33" s="54">
        <f>1.013*10^5*50*10^(-6)*(X33*10^(-6))/(8.3145*(273.15+15))/3*12.011*10^6</f>
        <v>2.4841352512314512E-4</v>
      </c>
      <c r="AO33" s="54">
        <f>1.013*10^5*50*10^(-6)*(Y33*10^(-6))/(8.3145*(273.15+15))/3*12.011*10^6</f>
        <v>4.2052004177023822E-4</v>
      </c>
      <c r="AP33" s="54">
        <f>1.013*10^5*50*10^(-6)*(Z33*10^(-6))/(8.3145*(273.15+15))/3*12.011*10^6</f>
        <v>2.2961848174428274E-4</v>
      </c>
      <c r="AZ33" s="18">
        <v>30</v>
      </c>
      <c r="BA33">
        <f>C33-B33</f>
        <v>233.99699442120004</v>
      </c>
      <c r="BB33">
        <f>('7-24-13 Final'!S48-'7-24-13 Initial'!S48)*60</f>
        <v>82.999999999999545</v>
      </c>
      <c r="BC33">
        <f>BD33/60</f>
        <v>4.6987348277349662E-2</v>
      </c>
      <c r="BD33">
        <f>BA33/BB33</f>
        <v>2.8192408966409799</v>
      </c>
      <c r="BE33">
        <f>BD33/3</f>
        <v>0.93974696554699333</v>
      </c>
      <c r="BF33" s="48">
        <f>D33-B33</f>
        <v>19725.56064446058</v>
      </c>
      <c r="BG33">
        <f>('7-29-13 Final #2'!S48-'7-24-13 Initial'!S48)*60</f>
        <v>6970.0000000000045</v>
      </c>
      <c r="BH33">
        <f>BI33/60</f>
        <v>4.7167768159877013E-2</v>
      </c>
      <c r="BI33">
        <f>BF33/BG33</f>
        <v>2.8300660895926208</v>
      </c>
      <c r="BJ33">
        <f>BI33/3</f>
        <v>0.94335536319754032</v>
      </c>
      <c r="BK33" s="48">
        <f>G33-F33</f>
        <v>8837.3856170057807</v>
      </c>
      <c r="BL33">
        <f>60*('8-1-13 Final #1'!S48-'7-30-13 Initial + cap'!S48)</f>
        <v>2760</v>
      </c>
      <c r="BM33">
        <f>BN33/60</f>
        <v>5.3365855175155678E-2</v>
      </c>
      <c r="BN33">
        <f>BK33/BL33</f>
        <v>3.2019513105093407</v>
      </c>
      <c r="BO33">
        <f>BN33/3</f>
        <v>1.0673171035031135</v>
      </c>
      <c r="BP33" s="48">
        <f>H33-F33</f>
        <v>15311.349647637682</v>
      </c>
      <c r="BQ33">
        <f>('8-5-13 final 1'!S48-'7-30-13 Initial + cap'!S48)*60</f>
        <v>8694.9999999999982</v>
      </c>
      <c r="BR33">
        <f>BS33/60</f>
        <v>2.9348954662905279E-2</v>
      </c>
      <c r="BS33">
        <f>BP33/BQ33</f>
        <v>1.7609372797743168</v>
      </c>
      <c r="BT33">
        <f>BS33/3</f>
        <v>0.5869790932581056</v>
      </c>
      <c r="BU33" s="48">
        <f>'8-8-13 Final'!U48-'8-5-13 initial'!U48</f>
        <v>12415.67554059883</v>
      </c>
      <c r="BV33">
        <f>('8-8-13 Final'!S48-'8-5-13 initial'!S48)*60</f>
        <v>4164.9999999999982</v>
      </c>
      <c r="BW33">
        <f>BX33/60</f>
        <v>4.9682575192472329E-2</v>
      </c>
      <c r="BX33">
        <f>BU33/BV33</f>
        <v>2.9809545115483398</v>
      </c>
      <c r="BY33">
        <f>BX33/3</f>
        <v>0.99365150384944656</v>
      </c>
      <c r="BZ33" s="48">
        <v>18437.0057674544</v>
      </c>
      <c r="CA33">
        <v>11327</v>
      </c>
      <c r="CB33">
        <f>CC33/60</f>
        <v>2.7128403766008165E-2</v>
      </c>
      <c r="CC33">
        <v>1.6277042259604899</v>
      </c>
      <c r="CD33">
        <v>0.54256807532016305</v>
      </c>
    </row>
    <row r="34" spans="1:82">
      <c r="A34" s="18">
        <v>31</v>
      </c>
      <c r="B34">
        <v>1570.3305271726599</v>
      </c>
      <c r="C34">
        <v>1883.83260522974</v>
      </c>
      <c r="D34">
        <v>18968.177638346599</v>
      </c>
      <c r="F34">
        <v>944.48013980818303</v>
      </c>
      <c r="G34">
        <v>9129.7749061848008</v>
      </c>
      <c r="H34">
        <v>15679.026052516499</v>
      </c>
      <c r="I34">
        <v>1304.52329914039</v>
      </c>
      <c r="J34">
        <v>11077.860144759199</v>
      </c>
      <c r="K34">
        <v>18126.616993564501</v>
      </c>
      <c r="M34">
        <f>C34-B34</f>
        <v>313.5020780570801</v>
      </c>
      <c r="N34">
        <f>D34-B34</f>
        <v>17397.847111173938</v>
      </c>
      <c r="O34">
        <f>(G34-F34)+N34</f>
        <v>25583.141877550555</v>
      </c>
      <c r="P34">
        <f>(H34-F34)+N34</f>
        <v>32132.393023882254</v>
      </c>
      <c r="Q34">
        <f>(J34-I34)+P34</f>
        <v>41905.729869501061</v>
      </c>
      <c r="R34">
        <f>(K34-J34)+Q34</f>
        <v>48954.486718306362</v>
      </c>
      <c r="U34">
        <v>3.7321675959177597E-2</v>
      </c>
      <c r="V34">
        <v>4.16077082105848E-2</v>
      </c>
      <c r="W34">
        <v>4.9428108492612401E-2</v>
      </c>
      <c r="X34">
        <v>2.8240083396021701E-2</v>
      </c>
      <c r="Y34">
        <v>3.91183831476897E-2</v>
      </c>
      <c r="Z34">
        <v>2.4754390626911801E-2</v>
      </c>
      <c r="AC34" s="54">
        <f>1.013*10^5*50*10^(-6)*(M34*10^(-6))/(8.3145*(273.15+15))/3*12.011*10^6</f>
        <v>2.6535240262585003</v>
      </c>
      <c r="AD34" s="54">
        <f>1.013*10^5*50*10^(-6)*(N34*10^(-6))/(8.3145*(273.15+15))/3*12.011*10^6</f>
        <v>147.25773302933769</v>
      </c>
      <c r="AE34" s="54">
        <f>1.013*10^5*50*10^(-6)*(O34*10^(-6))/(8.3145*(273.15+15))/3*12.011*10^6</f>
        <v>216.53917594415537</v>
      </c>
      <c r="AF34" s="54">
        <f>1.013*10^5*50*10^(-6)*(P34*10^(-6))/(8.3145*(273.15+15))/3*12.011*10^6</f>
        <v>271.97292419391351</v>
      </c>
      <c r="AG34" s="54">
        <f>1.013*10^5*50*10^(-6)*(Q34*10^(-6))/(8.3145*(273.15+15))/3*12.011*10^6</f>
        <v>354.69577023465052</v>
      </c>
      <c r="AH34" s="54">
        <f>1.013*10^5*50*10^(-6)*(R34*10^(-6))/(8.3145*(273.15+15))/3*12.011*10^6</f>
        <v>414.35740236633148</v>
      </c>
      <c r="AK34" s="54">
        <f>1.013*10^5*50*10^(-6)*(U34*10^(-6))/(8.3145*(273.15+15))/3*12.011*10^6</f>
        <v>3.158957174117381E-4</v>
      </c>
      <c r="AL34" s="54">
        <f>1.013*10^5*50*10^(-6)*(V34*10^(-6))/(8.3145*(273.15+15))/3*12.011*10^6</f>
        <v>3.5217327457152535E-4</v>
      </c>
      <c r="AM34" s="54">
        <f>1.013*10^5*50*10^(-6)*(W34*10^(-6))/(8.3145*(273.15+15))/3*12.011*10^6</f>
        <v>4.1836620117643514E-4</v>
      </c>
      <c r="AN34" s="54">
        <f>1.013*10^5*50*10^(-6)*(X34*10^(-6))/(8.3145*(273.15+15))/3*12.011*10^6</f>
        <v>2.3902788861655832E-4</v>
      </c>
      <c r="AO34" s="54">
        <f>1.013*10^5*50*10^(-6)*(Y34*10^(-6))/(8.3145*(273.15+15))/3*12.011*10^6</f>
        <v>3.3110329026871983E-4</v>
      </c>
      <c r="AP34" s="54">
        <f>1.013*10^5*50*10^(-6)*(Z34*10^(-6))/(8.3145*(273.15+15))/3*12.011*10^6</f>
        <v>2.0952451317384572E-4</v>
      </c>
      <c r="AZ34" s="18">
        <v>31</v>
      </c>
      <c r="BA34">
        <f>C34-B34</f>
        <v>313.5020780570801</v>
      </c>
      <c r="BB34">
        <f>('7-24-13 Final'!S49-'7-24-13 Initial'!S49)*60</f>
        <v>139.99999999999545</v>
      </c>
      <c r="BC34">
        <f>BD34/60</f>
        <v>3.7321675959177417E-2</v>
      </c>
      <c r="BD34">
        <f>BA34/BB34</f>
        <v>2.2393005575506448</v>
      </c>
      <c r="BE34">
        <f>BD34/3</f>
        <v>0.74643351918354828</v>
      </c>
      <c r="BF34" s="48">
        <f>D34-B34</f>
        <v>17397.847111173938</v>
      </c>
      <c r="BG34">
        <f>('7-29-13 Final #2'!S49-'7-24-13 Initial'!S49)*60</f>
        <v>6968.9999999999982</v>
      </c>
      <c r="BH34">
        <f>BI34/60</f>
        <v>4.1607708210584834E-2</v>
      </c>
      <c r="BI34">
        <f>BF34/BG34</f>
        <v>2.4964624926350902</v>
      </c>
      <c r="BJ34">
        <f>BI34/3</f>
        <v>0.83215416421169675</v>
      </c>
      <c r="BK34" s="48">
        <f>G34-F34</f>
        <v>8185.2947663766181</v>
      </c>
      <c r="BL34">
        <f>60*('8-1-13 Final #1'!S49-'7-30-13 Initial + cap'!S49)</f>
        <v>2760</v>
      </c>
      <c r="BM34">
        <f>BN34/60</f>
        <v>4.9428108492612428E-2</v>
      </c>
      <c r="BN34">
        <f>BK34/BL34</f>
        <v>2.9656865095567455</v>
      </c>
      <c r="BO34">
        <f>BN34/3</f>
        <v>0.98856216985224854</v>
      </c>
      <c r="BP34" s="48">
        <f>H34-F34</f>
        <v>14734.545912708316</v>
      </c>
      <c r="BQ34">
        <f>('8-5-13 final 1'!S49-'7-30-13 Initial + cap'!S49)*60</f>
        <v>8696.0000000000036</v>
      </c>
      <c r="BR34">
        <f>BS34/60</f>
        <v>2.8240083396021753E-2</v>
      </c>
      <c r="BS34">
        <f>BP34/BQ34</f>
        <v>1.6944050037613052</v>
      </c>
      <c r="BT34">
        <f>BS34/3</f>
        <v>0.56480166792043507</v>
      </c>
      <c r="BU34" s="48">
        <f>'8-8-13 Final'!U49-'8-5-13 initial'!U49</f>
        <v>9773.3368456187836</v>
      </c>
      <c r="BV34">
        <f>('8-8-13 Final'!S49-'8-5-13 initial'!S49)*60</f>
        <v>4163.9999999999982</v>
      </c>
      <c r="BW34">
        <f>BX34/60</f>
        <v>3.9118383147689673E-2</v>
      </c>
      <c r="BX34">
        <f>BU34/BV34</f>
        <v>2.3471029888613804</v>
      </c>
      <c r="BY34">
        <f>BX34/3</f>
        <v>0.78236766295379345</v>
      </c>
      <c r="BZ34" s="48">
        <v>16822.0936944241</v>
      </c>
      <c r="CA34">
        <v>11326</v>
      </c>
      <c r="CB34">
        <f>CC34/60</f>
        <v>2.4754390626911833E-2</v>
      </c>
      <c r="CC34">
        <v>1.48526343761471</v>
      </c>
      <c r="CD34">
        <v>0.49508781253823497</v>
      </c>
    </row>
    <row r="35" spans="1:82">
      <c r="A35">
        <v>32</v>
      </c>
      <c r="B35">
        <v>1548.40297763121</v>
      </c>
      <c r="C35">
        <v>1924.63172313729</v>
      </c>
      <c r="D35">
        <v>18056.980525071602</v>
      </c>
      <c r="F35">
        <v>892.893902173789</v>
      </c>
      <c r="G35">
        <v>10337.510310456</v>
      </c>
      <c r="H35">
        <v>18207.086702232002</v>
      </c>
      <c r="I35">
        <v>967.98580698613205</v>
      </c>
      <c r="J35">
        <v>11477.3364883717</v>
      </c>
      <c r="K35">
        <v>20991.225303222302</v>
      </c>
      <c r="M35">
        <f>C35-B35</f>
        <v>376.22874550608003</v>
      </c>
      <c r="N35">
        <f>D35-B35</f>
        <v>16508.577547440393</v>
      </c>
      <c r="O35">
        <f>(G35-F35)+N35</f>
        <v>25953.193955722603</v>
      </c>
      <c r="P35">
        <f>(H35-F35)+N35</f>
        <v>33822.770347498605</v>
      </c>
      <c r="Q35">
        <f>(J35-I35)+P35</f>
        <v>44332.121028884168</v>
      </c>
      <c r="R35">
        <f>(K35-J35)+Q35</f>
        <v>53846.00984373477</v>
      </c>
      <c r="U35">
        <v>4.4158303463154802E-2</v>
      </c>
      <c r="V35">
        <v>3.9475316947490097E-2</v>
      </c>
      <c r="W35">
        <v>5.70327077794818E-2</v>
      </c>
      <c r="X35">
        <v>3.31803932391595E-2</v>
      </c>
      <c r="Y35">
        <v>4.2074428222378002E-2</v>
      </c>
      <c r="Z35">
        <v>2.9470210020364099E-2</v>
      </c>
      <c r="AC35" s="54">
        <f>1.013*10^5*50*10^(-6)*(M35*10^(-6))/(8.3145*(273.15+15))/3*12.011*10^6</f>
        <v>3.1844510306171223</v>
      </c>
      <c r="AD35" s="54">
        <f>1.013*10^5*50*10^(-6)*(N35*10^(-6))/(8.3145*(273.15+15))/3*12.011*10^6</f>
        <v>139.73083506485995</v>
      </c>
      <c r="AE35" s="54">
        <f>1.013*10^5*50*10^(-6)*(O35*10^(-6))/(8.3145*(273.15+15))/3*12.011*10^6</f>
        <v>219.67134682634529</v>
      </c>
      <c r="AF35" s="54">
        <f>1.013*10^5*50*10^(-6)*(P35*10^(-6))/(8.3145*(273.15+15))/3*12.011*10^6</f>
        <v>286.28050668094835</v>
      </c>
      <c r="AG35" s="54">
        <f>1.013*10^5*50*10^(-6)*(Q35*10^(-6))/(8.3145*(273.15+15))/3*12.011*10^6</f>
        <v>375.23307345900758</v>
      </c>
      <c r="AH35" s="54">
        <f>1.013*10^5*50*10^(-6)*(R35*10^(-6))/(8.3145*(273.15+15))/3*12.011*10^6</f>
        <v>455.75991624682979</v>
      </c>
      <c r="AK35" s="54">
        <f>1.013*10^5*50*10^(-6)*(U35*10^(-6))/(8.3145*(273.15+15))/3*12.011*10^6</f>
        <v>3.7376185805365175E-4</v>
      </c>
      <c r="AL35" s="54">
        <f>1.013*10^5*50*10^(-6)*(V35*10^(-6))/(8.3145*(273.15+15))/3*12.011*10^6</f>
        <v>3.3412442626700063E-4</v>
      </c>
      <c r="AM35" s="54">
        <f>1.013*10^5*50*10^(-6)*(W35*10^(-6))/(8.3145*(273.15+15))/3*12.011*10^6</f>
        <v>4.827325589461663E-4</v>
      </c>
      <c r="AN35" s="54">
        <f>1.013*10^5*50*10^(-6)*(X35*10^(-6))/(8.3145*(273.15+15))/3*12.011*10^6</f>
        <v>2.8084333987982136E-4</v>
      </c>
      <c r="AO35" s="54">
        <f>1.013*10^5*50*10^(-6)*(Y35*10^(-6))/(8.3145*(273.15+15))/3*12.011*10^6</f>
        <v>3.5612365592945508E-4</v>
      </c>
      <c r="AP35" s="54">
        <f>1.013*10^5*50*10^(-6)*(Z35*10^(-6))/(8.3145*(273.15+15))/3*12.011*10^6</f>
        <v>2.494398468825527E-4</v>
      </c>
      <c r="AZ35">
        <v>32</v>
      </c>
      <c r="BA35">
        <f>C35-B35</f>
        <v>376.22874550608003</v>
      </c>
      <c r="BB35">
        <f>('7-24-13 Final'!S50-'7-24-13 Initial'!S50)*60</f>
        <v>142.00000000000045</v>
      </c>
      <c r="BC35">
        <f>BD35/60</f>
        <v>4.4158303463154788E-2</v>
      </c>
      <c r="BD35">
        <f>BA35/BB35</f>
        <v>2.6494982077892875</v>
      </c>
      <c r="BE35">
        <f>BD35/3</f>
        <v>0.88316606926309582</v>
      </c>
      <c r="BF35" s="48">
        <f>D35-B35</f>
        <v>16508.577547440393</v>
      </c>
      <c r="BG35">
        <f>('7-29-13 Final #2'!S50-'7-24-13 Initial'!S50)*60</f>
        <v>6970.0000000000045</v>
      </c>
      <c r="BH35">
        <f>BI35/60</f>
        <v>3.9475316947490152E-2</v>
      </c>
      <c r="BI35">
        <f>BF35/BG35</f>
        <v>2.368519016849409</v>
      </c>
      <c r="BJ35">
        <f>BI35/3</f>
        <v>0.78950633894980304</v>
      </c>
      <c r="BK35" s="48">
        <f>G35-F35</f>
        <v>9444.6164082822106</v>
      </c>
      <c r="BL35">
        <f>60*('8-1-13 Final #1'!S50-'7-30-13 Initial + cap'!S50)</f>
        <v>2760</v>
      </c>
      <c r="BM35">
        <f>BN35/60</f>
        <v>5.7032707779481953E-2</v>
      </c>
      <c r="BN35">
        <f>BK35/BL35</f>
        <v>3.421962466768917</v>
      </c>
      <c r="BO35">
        <f>BN35/3</f>
        <v>1.140654155589639</v>
      </c>
      <c r="BP35" s="48">
        <f>H35-F35</f>
        <v>17314.192800058212</v>
      </c>
      <c r="BQ35">
        <f>('8-5-13 final 1'!S50-'7-30-13 Initial + cap'!S50)*60</f>
        <v>8697.0000000000036</v>
      </c>
      <c r="BR35">
        <f>BS35/60</f>
        <v>3.3180393239159486E-2</v>
      </c>
      <c r="BS35">
        <f>BP35/BQ35</f>
        <v>1.9908235943495693</v>
      </c>
      <c r="BT35">
        <f>BS35/3</f>
        <v>0.66360786478318978</v>
      </c>
      <c r="BU35" s="48">
        <f>'8-8-13 Final'!U50-'8-5-13 initial'!U50</f>
        <v>10509.350681385577</v>
      </c>
      <c r="BV35">
        <f>('8-8-13 Final'!S50-'8-5-13 initial'!S50)*60</f>
        <v>4163</v>
      </c>
      <c r="BW35">
        <f>BX35/60</f>
        <v>4.2074428222377995E-2</v>
      </c>
      <c r="BX35">
        <f>BU35/BV35</f>
        <v>2.5244656933426799</v>
      </c>
      <c r="BY35">
        <f>BX35/3</f>
        <v>0.84148856444755993</v>
      </c>
      <c r="BZ35" s="48">
        <v>20023.239496236201</v>
      </c>
      <c r="CA35">
        <v>11324</v>
      </c>
      <c r="CB35">
        <f>CC35/60</f>
        <v>2.9470210020364165E-2</v>
      </c>
      <c r="CC35">
        <v>1.76821260122185</v>
      </c>
      <c r="CD35">
        <v>0.58940420040728203</v>
      </c>
    </row>
    <row r="36" spans="1:82">
      <c r="A36" s="18">
        <v>33</v>
      </c>
      <c r="B36">
        <v>1538.92664118724</v>
      </c>
      <c r="C36">
        <v>1862.26838855752</v>
      </c>
      <c r="D36">
        <v>18627.519249041401</v>
      </c>
      <c r="F36">
        <v>818.48536375360197</v>
      </c>
      <c r="G36">
        <v>9532.0610410927093</v>
      </c>
      <c r="H36">
        <v>22980.515996443399</v>
      </c>
      <c r="I36">
        <v>1473.9004712881499</v>
      </c>
      <c r="J36">
        <v>11514.008051786001</v>
      </c>
      <c r="K36">
        <v>19440.292619036802</v>
      </c>
      <c r="M36">
        <f>C36-B36</f>
        <v>323.34174737028002</v>
      </c>
      <c r="N36">
        <f>D36-B36</f>
        <v>17088.59260785416</v>
      </c>
      <c r="O36">
        <f>(G36-F36)+N36</f>
        <v>25802.168285193267</v>
      </c>
      <c r="P36">
        <f>(H36-F36)+N36</f>
        <v>39250.623240543951</v>
      </c>
      <c r="Q36">
        <f>(J36-I36)+P36</f>
        <v>49290.730821041798</v>
      </c>
      <c r="R36">
        <f>(K36-J36)+Q36</f>
        <v>57217.015388292595</v>
      </c>
      <c r="U36">
        <v>3.8220064700980598E-2</v>
      </c>
      <c r="V36">
        <v>4.0868112612651698E-2</v>
      </c>
      <c r="W36">
        <v>5.2618210611951099E-2</v>
      </c>
      <c r="X36">
        <v>4.2465759624223498E-2</v>
      </c>
      <c r="Y36">
        <v>4.0205460437681799E-2</v>
      </c>
      <c r="Z36">
        <v>2.6442941463188301E-2</v>
      </c>
      <c r="AC36" s="54">
        <f>1.013*10^5*50*10^(-6)*(M36*10^(-6))/(8.3145*(273.15+15))/3*12.011*10^6</f>
        <v>2.7368083192840182</v>
      </c>
      <c r="AD36" s="54">
        <f>1.013*10^5*50*10^(-6)*(N36*10^(-6))/(8.3145*(273.15+15))/3*12.011*10^6</f>
        <v>144.64016105063374</v>
      </c>
      <c r="AE36" s="54">
        <f>1.013*10^5*50*10^(-6)*(O36*10^(-6))/(8.3145*(273.15+15))/3*12.011*10^6</f>
        <v>218.39304510721465</v>
      </c>
      <c r="AF36" s="54">
        <f>1.013*10^5*50*10^(-6)*(P36*10^(-6))/(8.3145*(273.15+15))/3*12.011*10^6</f>
        <v>332.22258831547634</v>
      </c>
      <c r="AG36" s="54">
        <f>1.013*10^5*50*10^(-6)*(Q36*10^(-6))/(8.3145*(273.15+15))/3*12.011*10^6</f>
        <v>417.2034179679689</v>
      </c>
      <c r="AH36" s="54">
        <f>1.013*10^5*50*10^(-6)*(R36*10^(-6))/(8.3145*(273.15+15))/3*12.011*10^6</f>
        <v>484.29256349616054</v>
      </c>
      <c r="AK36" s="54">
        <f>1.013*10^5*50*10^(-6)*(U36*10^(-6))/(8.3145*(273.15+15))/3*12.011*10^6</f>
        <v>3.234998013338241E-4</v>
      </c>
      <c r="AL36" s="54">
        <f>1.013*10^5*50*10^(-6)*(V36*10^(-6))/(8.3145*(273.15+15))/3*12.011*10^6</f>
        <v>3.4591323731437778E-4</v>
      </c>
      <c r="AM36" s="54">
        <f>1.013*10^5*50*10^(-6)*(W36*10^(-6))/(8.3145*(273.15+15))/3*12.011*10^6</f>
        <v>4.4536765734650292E-4</v>
      </c>
      <c r="AN36" s="54">
        <f>1.013*10^5*50*10^(-6)*(X36*10^(-6))/(8.3145*(273.15+15))/3*12.011*10^6</f>
        <v>3.5943593788771814E-4</v>
      </c>
      <c r="AO36" s="54">
        <f>1.013*10^5*50*10^(-6)*(Y36*10^(-6))/(8.3145*(273.15+15))/3*12.011*10^6</f>
        <v>3.4030445960472915E-4</v>
      </c>
      <c r="AP36" s="54">
        <f>1.013*10^5*50*10^(-6)*(Z36*10^(-6))/(8.3145*(273.15+15))/3*12.011*10^6</f>
        <v>2.2381663602479145E-4</v>
      </c>
      <c r="AZ36" s="18">
        <v>33</v>
      </c>
      <c r="BA36">
        <f>C36-B36</f>
        <v>323.34174737028002</v>
      </c>
      <c r="BB36">
        <f>('7-24-13 Final'!S51-'7-24-13 Initial'!S51)*60</f>
        <v>140.99999999999454</v>
      </c>
      <c r="BC36">
        <f>BD36/60</f>
        <v>3.8220064700980202E-2</v>
      </c>
      <c r="BD36">
        <f>BA36/BB36</f>
        <v>2.2932038820588123</v>
      </c>
      <c r="BE36">
        <f>BD36/3</f>
        <v>0.76440129401960411</v>
      </c>
      <c r="BF36" s="48">
        <f>D36-B36</f>
        <v>17088.59260785416</v>
      </c>
      <c r="BG36">
        <f>('7-29-13 Final #2'!S51-'7-24-13 Initial'!S51)*60</f>
        <v>6968.9999999999982</v>
      </c>
      <c r="BH36">
        <f>BI36/60</f>
        <v>4.0868112612651657E-2</v>
      </c>
      <c r="BI36">
        <f>BF36/BG36</f>
        <v>2.4520867567590994</v>
      </c>
      <c r="BJ36">
        <f>BI36/3</f>
        <v>0.81736225225303316</v>
      </c>
      <c r="BK36" s="48">
        <f>G36-F36</f>
        <v>8713.5756773391076</v>
      </c>
      <c r="BL36">
        <f>60*('8-1-13 Final #1'!S51-'7-30-13 Initial + cap'!S51)</f>
        <v>2760</v>
      </c>
      <c r="BM36">
        <f>BN36/60</f>
        <v>5.2618210611951134E-2</v>
      </c>
      <c r="BN36">
        <f>BK36/BL36</f>
        <v>3.157092636717068</v>
      </c>
      <c r="BO36">
        <f>BN36/3</f>
        <v>1.0523642122390227</v>
      </c>
      <c r="BP36" s="48">
        <f>H36-F36</f>
        <v>22162.030632689795</v>
      </c>
      <c r="BQ36">
        <f>('8-5-13 final 1'!S51-'7-30-13 Initial + cap'!S51)*60</f>
        <v>8698.0000000000018</v>
      </c>
      <c r="BR36">
        <f>BS36/60</f>
        <v>4.246575962422356E-2</v>
      </c>
      <c r="BS36">
        <f>BP36/BQ36</f>
        <v>2.5479455774534134</v>
      </c>
      <c r="BT36">
        <f>BS36/3</f>
        <v>0.84931519248447118</v>
      </c>
      <c r="BU36" s="48">
        <f>'8-8-13 Final'!U51-'8-5-13 initial'!U51</f>
        <v>10040.107580497897</v>
      </c>
      <c r="BV36">
        <f>('8-8-13 Final'!S51-'8-5-13 initial'!S51)*60</f>
        <v>4162</v>
      </c>
      <c r="BW36">
        <f>BX36/60</f>
        <v>4.0205460437681792E-2</v>
      </c>
      <c r="BX36">
        <f>BU36/BV36</f>
        <v>2.4123276262609075</v>
      </c>
      <c r="BY36">
        <f>BX36/3</f>
        <v>0.80410920875363578</v>
      </c>
      <c r="BZ36" s="48">
        <v>17966.392147748698</v>
      </c>
      <c r="CA36">
        <v>11324</v>
      </c>
      <c r="CB36">
        <f>CC36/60</f>
        <v>2.6442941463188332E-2</v>
      </c>
      <c r="CC36">
        <v>1.5865764877913</v>
      </c>
      <c r="CD36">
        <v>0.52885882926376604</v>
      </c>
    </row>
    <row r="37" spans="1:82">
      <c r="A37" s="18">
        <v>34</v>
      </c>
      <c r="B37">
        <v>1230.3948324513101</v>
      </c>
      <c r="C37">
        <v>1464.76764707899</v>
      </c>
      <c r="D37">
        <v>6075.5857977411297</v>
      </c>
      <c r="F37">
        <v>786.86735545976103</v>
      </c>
      <c r="G37">
        <v>3086.4600970268798</v>
      </c>
      <c r="H37">
        <v>4718.9711046955699</v>
      </c>
      <c r="I37">
        <v>778.94813206176002</v>
      </c>
      <c r="J37">
        <v>4834.4862790349398</v>
      </c>
      <c r="K37">
        <v>10892.484574612899</v>
      </c>
      <c r="M37">
        <f>C37-B37</f>
        <v>234.37281462767987</v>
      </c>
      <c r="N37">
        <f>D37-B37</f>
        <v>4845.1909652898194</v>
      </c>
      <c r="O37">
        <f>(G37-F37)+N37</f>
        <v>7144.7837068569379</v>
      </c>
      <c r="P37">
        <f>(H37-F37)+N37</f>
        <v>8777.2947145256294</v>
      </c>
      <c r="Q37">
        <f>(J37-I37)+P37</f>
        <v>12832.83286149881</v>
      </c>
      <c r="R37">
        <f>(K37-J37)+Q37</f>
        <v>18890.831157076769</v>
      </c>
      <c r="U37">
        <v>2.7901525550915102E-2</v>
      </c>
      <c r="V37">
        <v>1.15874849698422E-2</v>
      </c>
      <c r="W37">
        <v>1.3886429598835201E-2</v>
      </c>
      <c r="X37">
        <v>7.5353642045835898E-3</v>
      </c>
      <c r="Y37">
        <v>1.6244244760767301E-2</v>
      </c>
      <c r="Z37">
        <v>1.4886420622554601E-2</v>
      </c>
      <c r="AC37" s="54">
        <f>1.013*10^5*50*10^(-6)*(M37*10^(-6))/(8.3145*(273.15+15))/3*12.011*10^6</f>
        <v>1.9837632291647673</v>
      </c>
      <c r="AD37" s="54">
        <f>1.013*10^5*50*10^(-6)*(N37*10^(-6))/(8.3145*(273.15+15))/3*12.011*10^6</f>
        <v>41.010352205277172</v>
      </c>
      <c r="AE37" s="54">
        <f>1.013*10^5*50*10^(-6)*(O37*10^(-6))/(8.3145*(273.15+15))/3*12.011*10^6</f>
        <v>60.474416457020325</v>
      </c>
      <c r="AF37" s="54">
        <f>1.013*10^5*50*10^(-6)*(P37*10^(-6))/(8.3145*(273.15+15))/3*12.011*10^6</f>
        <v>74.292210612731239</v>
      </c>
      <c r="AG37" s="54">
        <f>1.013*10^5*50*10^(-6)*(Q37*10^(-6))/(8.3145*(273.15+15))/3*12.011*10^6</f>
        <v>108.61883447147912</v>
      </c>
      <c r="AH37" s="54">
        <f>1.013*10^5*50*10^(-6)*(R37*10^(-6))/(8.3145*(273.15+15))/3*12.011*10^6</f>
        <v>159.89455209342847</v>
      </c>
      <c r="AK37" s="54">
        <f>1.013*10^5*50*10^(-6)*(U37*10^(-6))/(8.3145*(273.15+15))/3*12.011*10^6</f>
        <v>2.3616228918628895E-4</v>
      </c>
      <c r="AL37" s="54">
        <f>1.013*10^5*50*10^(-6)*(V37*10^(-6))/(8.3145*(273.15+15))/3*12.011*10^6</f>
        <v>9.8078041338492273E-5</v>
      </c>
      <c r="AM37" s="54">
        <f>1.013*10^5*50*10^(-6)*(W37*10^(-6))/(8.3145*(273.15+15))/3*12.011*10^6</f>
        <v>1.1753661987767555E-4</v>
      </c>
      <c r="AN37" s="54">
        <f>1.013*10^5*50*10^(-6)*(X37*10^(-6))/(8.3145*(273.15+15))/3*12.011*10^6</f>
        <v>6.3780342661174448E-5</v>
      </c>
      <c r="AO37" s="54">
        <f>1.013*10^5*50*10^(-6)*(Y37*10^(-6))/(8.3145*(273.15+15))/3*12.011*10^6</f>
        <v>1.3749348657673543E-4</v>
      </c>
      <c r="AP37" s="54">
        <f>1.013*10^5*50*10^(-6)*(Z37*10^(-6))/(8.3145*(273.15+15))/3*12.011*10^6</f>
        <v>1.2600067926741629E-4</v>
      </c>
      <c r="AZ37" s="18">
        <v>34</v>
      </c>
      <c r="BA37">
        <f>C37-B37</f>
        <v>234.37281462767987</v>
      </c>
      <c r="BB37">
        <f>('7-24-13 Final'!S52-'7-24-13 Initial'!S52)*60</f>
        <v>139.99999999999545</v>
      </c>
      <c r="BC37">
        <f>BD37/60</f>
        <v>2.7901525550915178E-2</v>
      </c>
      <c r="BD37">
        <f>BA37/BB37</f>
        <v>1.6740915330549107</v>
      </c>
      <c r="BE37">
        <f>BD37/3</f>
        <v>0.55803051101830359</v>
      </c>
      <c r="BF37" s="48">
        <f>D37-B37</f>
        <v>4845.1909652898194</v>
      </c>
      <c r="BG37">
        <f>('7-29-13 Final #2'!S52-'7-24-13 Initial'!S52)*60</f>
        <v>6968.9999999999982</v>
      </c>
      <c r="BH37">
        <f>BI37/60</f>
        <v>1.1587484969842209E-2</v>
      </c>
      <c r="BI37">
        <f>BF37/BG37</f>
        <v>0.69524909819053249</v>
      </c>
      <c r="BJ37">
        <f>BI37/3</f>
        <v>0.23174969939684417</v>
      </c>
      <c r="BK37" s="48">
        <f>G37-F37</f>
        <v>2299.5927415671185</v>
      </c>
      <c r="BL37">
        <f>60*('8-1-13 Final #1'!S52-'7-30-13 Initial + cap'!S52)</f>
        <v>2760</v>
      </c>
      <c r="BM37">
        <f>BN37/60</f>
        <v>1.3886429598835258E-2</v>
      </c>
      <c r="BN37">
        <f>BK37/BL37</f>
        <v>0.83318577593011545</v>
      </c>
      <c r="BO37">
        <f>BN37/3</f>
        <v>0.27772859197670513</v>
      </c>
      <c r="BP37" s="48">
        <f>H37-F37</f>
        <v>3932.1037492358091</v>
      </c>
      <c r="BQ37">
        <f>('8-5-13 final 1'!S52-'7-30-13 Initial + cap'!S52)*60</f>
        <v>8696.9999999999964</v>
      </c>
      <c r="BR37">
        <f>BS37/60</f>
        <v>7.5353642045835932E-3</v>
      </c>
      <c r="BS37">
        <f>BP37/BQ37</f>
        <v>0.45212185227501561</v>
      </c>
      <c r="BT37">
        <f>BS37/3</f>
        <v>0.15070728409167186</v>
      </c>
      <c r="BU37" s="48">
        <f>'8-8-13 Final'!U52-'8-5-13 initial'!U52</f>
        <v>4055.5381469731742</v>
      </c>
      <c r="BV37">
        <f>('8-8-13 Final'!S52-'8-5-13 initial'!S52)*60</f>
        <v>4161.0000000000018</v>
      </c>
      <c r="BW37">
        <f>BX37/60</f>
        <v>1.6244244760767333E-2</v>
      </c>
      <c r="BX37">
        <f>BU37/BV37</f>
        <v>0.97465468564603996</v>
      </c>
      <c r="BY37">
        <f>BX37/3</f>
        <v>0.32488489521534664</v>
      </c>
      <c r="BZ37" s="48">
        <v>10113.5364425511</v>
      </c>
      <c r="CA37">
        <v>11323</v>
      </c>
      <c r="CB37">
        <f>CC37/60</f>
        <v>1.4886420622554568E-2</v>
      </c>
      <c r="CC37">
        <v>0.89318523735327404</v>
      </c>
      <c r="CD37">
        <v>0.297728412451091</v>
      </c>
    </row>
    <row r="38" spans="1:82">
      <c r="A38">
        <v>35</v>
      </c>
      <c r="B38">
        <v>1207.9602130508599</v>
      </c>
      <c r="C38">
        <v>1471.83610999705</v>
      </c>
      <c r="D38">
        <v>5958.6029871352002</v>
      </c>
      <c r="F38">
        <v>721.575185375297</v>
      </c>
      <c r="G38">
        <v>3511.7062592356401</v>
      </c>
      <c r="H38">
        <v>7766.6146080533899</v>
      </c>
      <c r="I38">
        <v>1024.63444487686</v>
      </c>
      <c r="J38">
        <v>5754.2245882297602</v>
      </c>
      <c r="K38">
        <v>8802.5360009778105</v>
      </c>
      <c r="M38">
        <f>C38-B38</f>
        <v>263.8758969461901</v>
      </c>
      <c r="N38">
        <f>D38-B38</f>
        <v>4750.6427740843401</v>
      </c>
      <c r="O38">
        <f>(G38-F38)+N38</f>
        <v>7540.7738479446834</v>
      </c>
      <c r="P38">
        <f>(H38-F38)+N38</f>
        <v>11795.682196762433</v>
      </c>
      <c r="Q38">
        <f>(J38-I38)+P38</f>
        <v>16525.272340115334</v>
      </c>
      <c r="R38">
        <f>(K38-J38)+Q38</f>
        <v>19573.583752863386</v>
      </c>
      <c r="U38">
        <v>3.1413797255498303E-2</v>
      </c>
      <c r="V38">
        <v>1.1361368857522199E-2</v>
      </c>
      <c r="W38">
        <v>1.6848617595774999E-2</v>
      </c>
      <c r="X38">
        <v>1.34962441047473E-2</v>
      </c>
      <c r="Y38">
        <v>1.8948678458945999E-2</v>
      </c>
      <c r="Z38">
        <v>1.14495400637416E-2</v>
      </c>
      <c r="AC38" s="54">
        <f>1.013*10^5*50*10^(-6)*(M38*10^(-6))/(8.3145*(273.15+15))/3*12.011*10^6</f>
        <v>2.2334813116286272</v>
      </c>
      <c r="AD38" s="54">
        <f>1.013*10^5*50*10^(-6)*(N38*10^(-6))/(8.3145*(273.15+15))/3*12.011*10^6</f>
        <v>40.210083516285131</v>
      </c>
      <c r="AE38" s="54">
        <f>1.013*10^5*50*10^(-6)*(O38*10^(-6))/(8.3145*(273.15+15))/3*12.011*10^6</f>
        <v>63.826130614865583</v>
      </c>
      <c r="AF38" s="54">
        <f>1.013*10^5*50*10^(-6)*(P38*10^(-6))/(8.3145*(273.15+15))/3*12.011*10^6</f>
        <v>99.840250850011486</v>
      </c>
      <c r="AG38" s="54">
        <f>1.013*10^5*50*10^(-6)*(Q38*10^(-6))/(8.3145*(273.15+15))/3*12.011*10^6</f>
        <v>139.87214204997122</v>
      </c>
      <c r="AH38" s="54">
        <f>1.013*10^5*50*10^(-6)*(R38*10^(-6))/(8.3145*(273.15+15))/3*12.011*10^6</f>
        <v>165.6734624857873</v>
      </c>
      <c r="AK38" s="54">
        <f>1.013*10^5*50*10^(-6)*(U38*10^(-6))/(8.3145*(273.15+15))/3*12.011*10^6</f>
        <v>2.6589063233673692E-4</v>
      </c>
      <c r="AL38" s="54">
        <f>1.013*10^5*50*10^(-6)*(V38*10^(-6))/(8.3145*(273.15+15))/3*12.011*10^6</f>
        <v>9.6164163955338072E-5</v>
      </c>
      <c r="AM38" s="54">
        <f>1.013*10^5*50*10^(-6)*(W38*10^(-6))/(8.3145*(273.15+15))/3*12.011*10^6</f>
        <v>1.4260898006389149E-4</v>
      </c>
      <c r="AN38" s="54">
        <f>1.013*10^5*50*10^(-6)*(X38*10^(-6))/(8.3145*(273.15+15))/3*12.011*10^6</f>
        <v>1.1423403703778997E-4</v>
      </c>
      <c r="AO38" s="54">
        <f>1.013*10^5*50*10^(-6)*(Y38*10^(-6))/(8.3145*(273.15+15))/3*12.011*10^6</f>
        <v>1.603841794870188E-4</v>
      </c>
      <c r="AP38" s="54">
        <f>1.013*10^5*50*10^(-6)*(Z38*10^(-6))/(8.3145*(273.15+15))/3*12.011*10^6</f>
        <v>9.6910456980179763E-5</v>
      </c>
      <c r="AZ38">
        <v>35</v>
      </c>
      <c r="BA38">
        <f>C38-B38</f>
        <v>263.8758969461901</v>
      </c>
      <c r="BB38">
        <f>('7-24-13 Final'!S53-'7-24-13 Initial'!S53)*60</f>
        <v>140.00000000000227</v>
      </c>
      <c r="BC38">
        <f>BD38/60</f>
        <v>3.141379725549831E-2</v>
      </c>
      <c r="BD38">
        <f>BA38/BB38</f>
        <v>1.8848278353298986</v>
      </c>
      <c r="BE38">
        <f>BD38/3</f>
        <v>0.62827594510996621</v>
      </c>
      <c r="BF38" s="48">
        <f>D38-B38</f>
        <v>4750.6427740843401</v>
      </c>
      <c r="BG38">
        <f>('7-29-13 Final #2'!S53-'7-24-13 Initial'!S53)*60</f>
        <v>6968.9999999999982</v>
      </c>
      <c r="BH38">
        <f>BI38/60</f>
        <v>1.1361368857522222E-2</v>
      </c>
      <c r="BI38">
        <f>BF38/BG38</f>
        <v>0.68168213145133327</v>
      </c>
      <c r="BJ38">
        <f>BI38/3</f>
        <v>0.22722737715044442</v>
      </c>
      <c r="BK38" s="48">
        <f>G38-F38</f>
        <v>2790.1310738603433</v>
      </c>
      <c r="BL38">
        <f>60*('8-1-13 Final #1'!S53-'7-30-13 Initial + cap'!S53)</f>
        <v>2760</v>
      </c>
      <c r="BM38">
        <f>BN38/60</f>
        <v>1.6848617595775019E-2</v>
      </c>
      <c r="BN38">
        <f>BK38/BL38</f>
        <v>1.0109170557465013</v>
      </c>
      <c r="BO38">
        <f>BN38/3</f>
        <v>0.3369723519155004</v>
      </c>
      <c r="BP38" s="48">
        <f>H38-F38</f>
        <v>7045.0394226780927</v>
      </c>
      <c r="BQ38">
        <f>('8-5-13 final 1'!S53-'7-30-13 Initial + cap'!S53)*60</f>
        <v>8700</v>
      </c>
      <c r="BR38">
        <f>BS38/60</f>
        <v>1.3496244104747304E-2</v>
      </c>
      <c r="BS38">
        <f>BP38/BQ38</f>
        <v>0.8097746462848382</v>
      </c>
      <c r="BT38">
        <f>BS38/3</f>
        <v>0.26992488209494608</v>
      </c>
      <c r="BU38" s="48">
        <f>'8-8-13 Final'!U53-'8-5-13 initial'!U53</f>
        <v>4729.5901433529043</v>
      </c>
      <c r="BV38">
        <f>('8-8-13 Final'!S53-'8-5-13 initial'!S53)*60</f>
        <v>4159.9999999999955</v>
      </c>
      <c r="BW38">
        <f>BX38/60</f>
        <v>1.8948678458945951E-2</v>
      </c>
      <c r="BX38">
        <f>BU38/BV38</f>
        <v>1.1369207075367571</v>
      </c>
      <c r="BY38">
        <f>BX38/3</f>
        <v>0.37897356917891906</v>
      </c>
      <c r="BZ38" s="48">
        <v>7777.9015561009501</v>
      </c>
      <c r="CA38">
        <v>11322</v>
      </c>
      <c r="CB38">
        <f>CC38/60</f>
        <v>1.1449540063741616E-2</v>
      </c>
      <c r="CC38">
        <v>0.68697240382449698</v>
      </c>
      <c r="CD38">
        <v>0.22899080127483201</v>
      </c>
    </row>
    <row r="39" spans="1:82">
      <c r="A39" s="18">
        <v>36</v>
      </c>
      <c r="B39">
        <v>1187.3326443159999</v>
      </c>
      <c r="C39">
        <v>1452.22683484967</v>
      </c>
      <c r="D39">
        <v>6480.3073780486402</v>
      </c>
      <c r="F39">
        <v>673.48200889863904</v>
      </c>
      <c r="G39">
        <v>3244.61321868806</v>
      </c>
      <c r="H39">
        <v>7371.1476360206598</v>
      </c>
      <c r="I39">
        <v>817.93275580843397</v>
      </c>
      <c r="J39">
        <v>4689.9338475878803</v>
      </c>
      <c r="K39">
        <v>8788.5556308222895</v>
      </c>
      <c r="M39">
        <f>C39-B39</f>
        <v>264.8941905336701</v>
      </c>
      <c r="N39">
        <f>D39-B39</f>
        <v>5292.9747337326407</v>
      </c>
      <c r="O39">
        <f>(G39-F39)+N39</f>
        <v>7864.1059435220614</v>
      </c>
      <c r="P39">
        <f>(H39-F39)+N39</f>
        <v>11990.640360854661</v>
      </c>
      <c r="Q39">
        <f>(J39-I39)+P39</f>
        <v>15862.641452634107</v>
      </c>
      <c r="R39">
        <f>(K39-J39)+Q39</f>
        <v>19961.263235868515</v>
      </c>
      <c r="U39">
        <v>3.1535022682580002E-2</v>
      </c>
      <c r="V39">
        <v>1.2658379331641699E-2</v>
      </c>
      <c r="W39">
        <v>1.51958109325616E-2</v>
      </c>
      <c r="X39">
        <v>1.2744349863230199E-2</v>
      </c>
      <c r="Y39">
        <v>1.55128248869369E-2</v>
      </c>
      <c r="Z39">
        <v>1.1733237465427E-2</v>
      </c>
      <c r="AC39" s="54">
        <f>1.013*10^5*50*10^(-6)*(M39*10^(-6))/(8.3145*(273.15+15))/3*12.011*10^6</f>
        <v>2.2421002863955861</v>
      </c>
      <c r="AD39" s="54">
        <f>1.013*10^5*50*10^(-6)*(N39*10^(-6))/(8.3145*(273.15+15))/3*12.011*10^6</f>
        <v>44.800454636162051</v>
      </c>
      <c r="AE39" s="54">
        <f>1.013*10^5*50*10^(-6)*(O39*10^(-6))/(8.3145*(273.15+15))/3*12.011*10^6</f>
        <v>66.562857240067956</v>
      </c>
      <c r="AF39" s="54">
        <f>1.013*10^5*50*10^(-6)*(P39*10^(-6))/(8.3145*(273.15+15))/3*12.011*10^6</f>
        <v>101.49040314163294</v>
      </c>
      <c r="AG39" s="54">
        <f>1.013*10^5*50*10^(-6)*(Q39*10^(-6))/(8.3145*(273.15+15))/3*12.011*10^6</f>
        <v>134.26354452050833</v>
      </c>
      <c r="AH39" s="54">
        <f>1.013*10^5*50*10^(-6)*(R39*10^(-6))/(8.3145*(273.15+15))/3*12.011*10^6</f>
        <v>168.95483410863912</v>
      </c>
      <c r="AK39" s="54">
        <f>1.013*10^5*50*10^(-6)*(U39*10^(-6))/(8.3145*(273.15+15))/3*12.011*10^6</f>
        <v>2.6691670076138123E-4</v>
      </c>
      <c r="AL39" s="54">
        <f>1.013*10^5*50*10^(-6)*(V39*10^(-6))/(8.3145*(273.15+15))/3*12.011*10^6</f>
        <v>1.0714223617965804E-4</v>
      </c>
      <c r="AM39" s="54">
        <f>1.013*10^5*50*10^(-6)*(W39*10^(-6))/(8.3145*(273.15+15))/3*12.011*10^6</f>
        <v>1.286194007323045E-4</v>
      </c>
      <c r="AN39" s="54">
        <f>1.013*10^5*50*10^(-6)*(X39*10^(-6))/(8.3145*(273.15+15))/3*12.011*10^6</f>
        <v>1.0786990239652684E-4</v>
      </c>
      <c r="AO39" s="54">
        <f>1.013*10^5*50*10^(-6)*(Y39*10^(-6))/(8.3145*(273.15+15))/3*12.011*10^6</f>
        <v>1.3130264975510977E-4</v>
      </c>
      <c r="AP39" s="54">
        <f>1.013*10^5*50*10^(-6)*(Z39*10^(-6))/(8.3145*(273.15+15))/3*12.011*10^6</f>
        <v>9.9311710191082726E-5</v>
      </c>
      <c r="AZ39" s="18">
        <v>36</v>
      </c>
      <c r="BA39">
        <f>C39-B39</f>
        <v>264.8941905336701</v>
      </c>
      <c r="BB39">
        <f>('7-24-13 Final'!S54-'7-24-13 Initial'!S54)*60</f>
        <v>140.00000000000227</v>
      </c>
      <c r="BC39">
        <f>BD39/60</f>
        <v>3.153502268257926E-2</v>
      </c>
      <c r="BD39">
        <f>BA39/BB39</f>
        <v>1.8921013609547557</v>
      </c>
      <c r="BE39">
        <f>BD39/3</f>
        <v>0.63070045365158522</v>
      </c>
      <c r="BF39" s="48">
        <f>D39-B39</f>
        <v>5292.9747337326407</v>
      </c>
      <c r="BG39">
        <f>('7-29-13 Final #2'!S54-'7-24-13 Initial'!S54)*60</f>
        <v>6968.9999999999982</v>
      </c>
      <c r="BH39">
        <f>BI39/60</f>
        <v>1.2658379331641656E-2</v>
      </c>
      <c r="BI39">
        <f>BF39/BG39</f>
        <v>0.75950275989849936</v>
      </c>
      <c r="BJ39">
        <f>BI39/3</f>
        <v>0.25316758663283312</v>
      </c>
      <c r="BK39" s="48">
        <f>G39-F39</f>
        <v>2571.1312097894211</v>
      </c>
      <c r="BL39">
        <f>60*('8-1-13 Final #1'!S54-'7-30-13 Initial + cap'!S54)</f>
        <v>2820</v>
      </c>
      <c r="BM39">
        <f>BN39/60</f>
        <v>1.5195810932561589E-2</v>
      </c>
      <c r="BN39">
        <f>BK39/BL39</f>
        <v>0.91174865595369536</v>
      </c>
      <c r="BO39">
        <f>BN39/3</f>
        <v>0.30391621865123181</v>
      </c>
      <c r="BP39" s="48">
        <f>H39-F39</f>
        <v>6697.6656271220209</v>
      </c>
      <c r="BQ39">
        <f>('8-5-13 final 1'!S54-'7-30-13 Initial + cap'!S54)*60</f>
        <v>8759</v>
      </c>
      <c r="BR39">
        <f>BS39/60</f>
        <v>1.2744349863230241E-2</v>
      </c>
      <c r="BS39">
        <f>BP39/BQ39</f>
        <v>0.76466099179381442</v>
      </c>
      <c r="BT39">
        <f>BS39/3</f>
        <v>0.25488699726460479</v>
      </c>
      <c r="BU39" s="48">
        <f>'8-8-13 Final'!U54-'8-5-13 initial'!U54</f>
        <v>3872.0010917794416</v>
      </c>
      <c r="BV39">
        <f>('8-8-13 Final'!S54-'8-5-13 initial'!S54)*60</f>
        <v>4160.0000000000018</v>
      </c>
      <c r="BW39">
        <f>BX39/60</f>
        <v>1.5512824886936859E-2</v>
      </c>
      <c r="BX39">
        <f>BU39/BV39</f>
        <v>0.9307694932162115</v>
      </c>
      <c r="BY39">
        <f>BX39/3</f>
        <v>0.31025649773873715</v>
      </c>
      <c r="BZ39" s="48">
        <v>7970.6228750138598</v>
      </c>
      <c r="CA39">
        <v>11322</v>
      </c>
      <c r="CB39">
        <f>CC39/60</f>
        <v>1.1733237465426984E-2</v>
      </c>
      <c r="CC39">
        <v>0.70399424792561904</v>
      </c>
      <c r="CD39">
        <v>0.23466474930853901</v>
      </c>
    </row>
    <row r="40" spans="1:82">
      <c r="A40" s="18">
        <v>37</v>
      </c>
      <c r="B40">
        <v>1201.30985810687</v>
      </c>
      <c r="C40">
        <v>1449.39319446948</v>
      </c>
      <c r="D40">
        <v>6483.1073331698099</v>
      </c>
      <c r="F40">
        <v>709.56042311790998</v>
      </c>
      <c r="G40">
        <v>3164.30963048679</v>
      </c>
      <c r="H40">
        <v>4594.3205456513797</v>
      </c>
      <c r="I40">
        <v>747.35561442843903</v>
      </c>
      <c r="J40">
        <v>5007.3022524018797</v>
      </c>
      <c r="K40">
        <v>9285.7280429142793</v>
      </c>
      <c r="M40">
        <f>C40-B40</f>
        <v>248.08333636261</v>
      </c>
      <c r="N40">
        <f>D40-B40</f>
        <v>5281.7974750629401</v>
      </c>
      <c r="O40">
        <f>(G40-F40)+N40</f>
        <v>7736.54668243182</v>
      </c>
      <c r="P40">
        <f>(H40-F40)+N40</f>
        <v>9166.5575975964093</v>
      </c>
      <c r="Q40">
        <f>(J40-I40)+P40</f>
        <v>13426.50423556985</v>
      </c>
      <c r="R40">
        <f>(K40-J40)+Q40</f>
        <v>17704.930026082249</v>
      </c>
      <c r="U40">
        <v>2.9533730519357301E-2</v>
      </c>
      <c r="V40">
        <v>1.2631648431298E-2</v>
      </c>
      <c r="W40">
        <v>1.45079740388232E-2</v>
      </c>
      <c r="X40">
        <v>7.3910961235416099E-3</v>
      </c>
      <c r="Y40">
        <v>1.70753031825134E-2</v>
      </c>
      <c r="Z40">
        <v>1.25701092784587E-2</v>
      </c>
      <c r="AC40" s="54">
        <f>1.013*10^5*50*10^(-6)*(M40*10^(-6))/(8.3145*(273.15+15))/3*12.011*10^6</f>
        <v>2.0998109410703725</v>
      </c>
      <c r="AD40" s="54">
        <f>1.013*10^5*50*10^(-6)*(N40*10^(-6))/(8.3145*(273.15+15))/3*12.011*10^6</f>
        <v>44.705848805758727</v>
      </c>
      <c r="AE40" s="54">
        <f>1.013*10^5*50*10^(-6)*(O40*10^(-6))/(8.3145*(273.15+15))/3*12.011*10^6</f>
        <v>65.483178386988371</v>
      </c>
      <c r="AF40" s="54">
        <f>1.013*10^5*50*10^(-6)*(P40*10^(-6))/(8.3145*(273.15+15))/3*12.011*10^6</f>
        <v>77.586984348077593</v>
      </c>
      <c r="AG40" s="54">
        <f>1.013*10^5*50*10^(-6)*(Q40*10^(-6))/(8.3145*(273.15+15))/3*12.011*10^6</f>
        <v>113.6437493446513</v>
      </c>
      <c r="AH40" s="54">
        <f>1.013*10^5*50*10^(-6)*(R40*10^(-6))/(8.3145*(273.15+15))/3*12.011*10^6</f>
        <v>149.85692438976733</v>
      </c>
      <c r="AK40" s="54">
        <f>1.013*10^5*50*10^(-6)*(U40*10^(-6))/(8.3145*(273.15+15))/3*12.011*10^6</f>
        <v>2.4997749298455945E-4</v>
      </c>
      <c r="AL40" s="54">
        <f>1.013*10^5*50*10^(-6)*(V40*10^(-6))/(8.3145*(273.15+15))/3*12.011*10^6</f>
        <v>1.0691598222068871E-4</v>
      </c>
      <c r="AM40" s="54">
        <f>1.013*10^5*50*10^(-6)*(W40*10^(-6))/(8.3145*(273.15+15))/3*12.011*10^6</f>
        <v>1.2279745615383975E-4</v>
      </c>
      <c r="AN40" s="54">
        <f>1.013*10^5*50*10^(-6)*(X40*10^(-6))/(8.3145*(273.15+15))/3*12.011*10^6</f>
        <v>6.2559238094213977E-5</v>
      </c>
      <c r="AO40" s="54">
        <f>1.013*10^5*50*10^(-6)*(Y40*10^(-6))/(8.3145*(273.15+15))/3*12.011*10^6</f>
        <v>1.4452767755561061E-4</v>
      </c>
      <c r="AP40" s="54">
        <f>1.013*10^5*50*10^(-6)*(Z40*10^(-6))/(8.3145*(273.15+15))/3*12.011*10^6</f>
        <v>1.0639510650073594E-4</v>
      </c>
      <c r="AZ40" s="18">
        <v>37</v>
      </c>
      <c r="BA40">
        <f>C40-B40</f>
        <v>248.08333636261</v>
      </c>
      <c r="BB40">
        <f>('7-24-13 Final'!S55-'7-24-13 Initial'!S55)*60</f>
        <v>140.00000000000227</v>
      </c>
      <c r="BC40">
        <f>BD40/60</f>
        <v>2.9533730519357853E-2</v>
      </c>
      <c r="BD40">
        <f>BA40/BB40</f>
        <v>1.7720238311614711</v>
      </c>
      <c r="BE40">
        <f>BD40/3</f>
        <v>0.59067461038715707</v>
      </c>
      <c r="BF40" s="48">
        <f>D40-B40</f>
        <v>5281.7974750629401</v>
      </c>
      <c r="BG40">
        <f>('7-29-13 Final #2'!S55-'7-24-13 Initial'!S55)*60</f>
        <v>6968.9999999999982</v>
      </c>
      <c r="BH40">
        <f>BI40/60</f>
        <v>1.2631648431297989E-2</v>
      </c>
      <c r="BI40">
        <f>BF40/BG40</f>
        <v>0.75789890587787934</v>
      </c>
      <c r="BJ40">
        <f>BI40/3</f>
        <v>0.2526329686259598</v>
      </c>
      <c r="BK40" s="48">
        <f>G40-F40</f>
        <v>2454.74920736888</v>
      </c>
      <c r="BL40">
        <f>60*('8-1-13 Final #1'!S55-'7-30-13 Initial + cap'!S55)</f>
        <v>2820</v>
      </c>
      <c r="BM40">
        <f>BN40/60</f>
        <v>1.4507974038823169E-2</v>
      </c>
      <c r="BN40">
        <f>BK40/BL40</f>
        <v>0.87047844232939009</v>
      </c>
      <c r="BO40">
        <f>BN40/3</f>
        <v>0.29015948077646336</v>
      </c>
      <c r="BP40" s="48">
        <f>H40-F40</f>
        <v>3884.7601225334697</v>
      </c>
      <c r="BQ40">
        <f>('8-5-13 final 1'!S55-'7-30-13 Initial + cap'!S55)*60</f>
        <v>8760</v>
      </c>
      <c r="BR40">
        <f>BS40/60</f>
        <v>7.391096123541609E-3</v>
      </c>
      <c r="BS40">
        <f>BP40/BQ40</f>
        <v>0.44346576741249655</v>
      </c>
      <c r="BT40">
        <f>BS40/3</f>
        <v>0.14782192247083217</v>
      </c>
      <c r="BU40" s="48">
        <f>'8-8-13 Final'!U55-'8-5-13 initial'!U55</f>
        <v>4259.9466379734413</v>
      </c>
      <c r="BV40">
        <f>('8-8-13 Final'!S55-'8-5-13 initial'!S55)*60</f>
        <v>4158.0000000000036</v>
      </c>
      <c r="BW40">
        <f>BX40/60</f>
        <v>1.7075303182513379E-2</v>
      </c>
      <c r="BX40">
        <f>BU40/BV40</f>
        <v>1.0245181909508028</v>
      </c>
      <c r="BY40">
        <f>BX40/3</f>
        <v>0.34150606365026759</v>
      </c>
      <c r="BZ40" s="48">
        <v>8538.3724284858508</v>
      </c>
      <c r="CA40">
        <v>11321</v>
      </c>
      <c r="CB40">
        <f>CC40/60</f>
        <v>1.2570109278458684E-2</v>
      </c>
      <c r="CC40">
        <v>0.75420655670752101</v>
      </c>
      <c r="CD40">
        <v>0.25140218556917399</v>
      </c>
    </row>
    <row r="41" spans="1:82">
      <c r="A41">
        <v>38</v>
      </c>
      <c r="B41">
        <v>1272.36878436801</v>
      </c>
      <c r="C41">
        <v>1504.2708789472199</v>
      </c>
      <c r="D41">
        <v>6524.0646409194896</v>
      </c>
      <c r="F41">
        <v>806.19819143275697</v>
      </c>
      <c r="G41">
        <v>3280.2548998504599</v>
      </c>
      <c r="H41">
        <v>7351.6846080709001</v>
      </c>
      <c r="I41">
        <v>525.10455211365695</v>
      </c>
      <c r="J41">
        <v>4566.4802941177904</v>
      </c>
      <c r="K41">
        <v>8812.3681738026607</v>
      </c>
      <c r="M41">
        <f>C41-B41</f>
        <v>231.90209457920992</v>
      </c>
      <c r="N41">
        <f>D41-B41</f>
        <v>5251.6958565514797</v>
      </c>
      <c r="O41">
        <f>(G41-F41)+N41</f>
        <v>7725.7525649691825</v>
      </c>
      <c r="P41">
        <f>(H41-F41)+N41</f>
        <v>11797.182273189623</v>
      </c>
      <c r="Q41">
        <f>(J41-I41)+P41</f>
        <v>15838.558015193756</v>
      </c>
      <c r="R41">
        <f>(K41-J41)+Q41</f>
        <v>20084.445894878627</v>
      </c>
      <c r="U41">
        <v>2.7806006544269801E-2</v>
      </c>
      <c r="V41">
        <v>1.2559659101141899E-2</v>
      </c>
      <c r="W41">
        <v>1.46220845651164E-2</v>
      </c>
      <c r="X41">
        <v>1.2454782541077999E-2</v>
      </c>
      <c r="Y41">
        <v>1.6199197298397201E-2</v>
      </c>
      <c r="Z41">
        <v>1.2201507099071E-2</v>
      </c>
      <c r="AC41" s="54">
        <f>1.013*10^5*50*10^(-6)*(M41*10^(-6))/(8.3145*(273.15+15))/3*12.011*10^6</f>
        <v>1.9628507202225463</v>
      </c>
      <c r="AD41" s="54">
        <f>1.013*10^5*50*10^(-6)*(N41*10^(-6))/(8.3145*(273.15+15))/3*12.011*10^6</f>
        <v>44.451064631936177</v>
      </c>
      <c r="AE41" s="54">
        <f>1.013*10^5*50*10^(-6)*(O41*10^(-6))/(8.3145*(273.15+15))/3*12.011*10^6</f>
        <v>65.391815515625993</v>
      </c>
      <c r="AF41" s="54">
        <f>1.013*10^5*50*10^(-6)*(P41*10^(-6))/(8.3145*(273.15+15))/3*12.011*10^6</f>
        <v>99.852947699950874</v>
      </c>
      <c r="AG41" s="54">
        <f>1.013*10^5*50*10^(-6)*(Q41*10^(-6))/(8.3145*(273.15+15))/3*12.011*10^6</f>
        <v>134.05969904592988</v>
      </c>
      <c r="AH41" s="54">
        <f>1.013*10^5*50*10^(-6)*(R41*10^(-6))/(8.3145*(273.15+15))/3*12.011*10^6</f>
        <v>169.99746880926853</v>
      </c>
      <c r="AK41" s="54">
        <f>1.013*10^5*50*10^(-6)*(U41*10^(-6))/(8.3145*(273.15+15))/3*12.011*10^6</f>
        <v>2.3535380338399862E-4</v>
      </c>
      <c r="AL41" s="54">
        <f>1.013*10^5*50*10^(-6)*(V41*10^(-6))/(8.3145*(273.15+15))/3*12.011*10^6</f>
        <v>1.0630665478532578E-4</v>
      </c>
      <c r="AM41" s="54">
        <f>1.013*10^5*50*10^(-6)*(W41*10^(-6))/(8.3145*(273.15+15))/3*12.011*10^6</f>
        <v>1.2376330309509309E-4</v>
      </c>
      <c r="AN41" s="54">
        <f>1.013*10^5*50*10^(-6)*(X41*10^(-6))/(8.3145*(273.15+15))/3*12.011*10^6</f>
        <v>1.0541896538420407E-4</v>
      </c>
      <c r="AO41" s="54">
        <f>1.013*10^5*50*10^(-6)*(Y41*10^(-6))/(8.3145*(273.15+15))/3*12.011*10^6</f>
        <v>1.3711219875733134E-4</v>
      </c>
      <c r="AP41" s="54">
        <f>1.013*10^5*50*10^(-6)*(Z41*10^(-6))/(8.3145*(273.15+15))/3*12.011*10^6</f>
        <v>1.0327520775812399E-4</v>
      </c>
      <c r="AZ41">
        <v>38</v>
      </c>
      <c r="BA41">
        <f>C41-B41</f>
        <v>231.90209457920992</v>
      </c>
      <c r="BB41">
        <f>('7-24-13 Final'!S56-'7-24-13 Initial'!S56)*60</f>
        <v>139.00000000000318</v>
      </c>
      <c r="BC41">
        <f>BD41/60</f>
        <v>2.7806006544269138E-2</v>
      </c>
      <c r="BD41">
        <f>BA41/BB41</f>
        <v>1.6683603926561483</v>
      </c>
      <c r="BE41">
        <f>BD41/3</f>
        <v>0.55612013088538281</v>
      </c>
      <c r="BF41" s="48">
        <f>D41-B41</f>
        <v>5251.6958565514797</v>
      </c>
      <c r="BG41">
        <f>('7-29-13 Final #2'!S56-'7-24-13 Initial'!S56)*60</f>
        <v>6969.0000000000055</v>
      </c>
      <c r="BH41">
        <f>BI41/60</f>
        <v>1.2559659101141903E-2</v>
      </c>
      <c r="BI41">
        <f>BF41/BG41</f>
        <v>0.75357954606851418</v>
      </c>
      <c r="BJ41">
        <f>BI41/3</f>
        <v>0.25119318202283808</v>
      </c>
      <c r="BK41" s="48">
        <f>G41-F41</f>
        <v>2474.0567084177028</v>
      </c>
      <c r="BL41">
        <f>60*('8-1-13 Final #1'!S56-'7-30-13 Initial + cap'!S56)</f>
        <v>2820</v>
      </c>
      <c r="BM41">
        <f>BN41/60</f>
        <v>1.4622084565116445E-2</v>
      </c>
      <c r="BN41">
        <f>BK41/BL41</f>
        <v>0.87732507390698677</v>
      </c>
      <c r="BO41">
        <f>BN41/3</f>
        <v>0.29244169130232894</v>
      </c>
      <c r="BP41" s="48">
        <f>H41-F41</f>
        <v>6545.4864166381431</v>
      </c>
      <c r="BQ41">
        <f>('8-5-13 final 1'!S56-'7-30-13 Initial + cap'!S56)*60</f>
        <v>8759</v>
      </c>
      <c r="BR41">
        <f>BS41/60</f>
        <v>1.245478254107802E-2</v>
      </c>
      <c r="BS41">
        <f>BP41/BQ41</f>
        <v>0.74728695246468124</v>
      </c>
      <c r="BT41">
        <f>BS41/3</f>
        <v>0.2490956508215604</v>
      </c>
      <c r="BU41" s="48">
        <f>'8-8-13 Final'!U56-'8-5-13 initial'!U56</f>
        <v>4041.3757420041343</v>
      </c>
      <c r="BV41">
        <f>('8-8-13 Final'!S56-'8-5-13 initial'!S56)*60</f>
        <v>4158.0000000000036</v>
      </c>
      <c r="BW41">
        <f>BX41/60</f>
        <v>1.6199197298397187E-2</v>
      </c>
      <c r="BX41">
        <f>BU41/BV41</f>
        <v>0.97195183790383133</v>
      </c>
      <c r="BY41">
        <f>BX41/3</f>
        <v>0.32398394596794378</v>
      </c>
      <c r="BZ41" s="48">
        <v>8287.2636216890005</v>
      </c>
      <c r="CA41">
        <v>11320</v>
      </c>
      <c r="CB41">
        <f>CC41/60</f>
        <v>1.2201507099070967E-2</v>
      </c>
      <c r="CC41">
        <v>0.73209042594425799</v>
      </c>
      <c r="CD41">
        <v>0.24403014198141901</v>
      </c>
    </row>
    <row r="42" spans="1:82">
      <c r="A42" s="18">
        <v>39</v>
      </c>
      <c r="B42">
        <v>2210.4585585141199</v>
      </c>
      <c r="C42">
        <v>2826.2501333827699</v>
      </c>
      <c r="D42">
        <v>15156.613166147399</v>
      </c>
      <c r="F42">
        <v>742.01770864900902</v>
      </c>
      <c r="G42">
        <v>5548.4912700772602</v>
      </c>
      <c r="H42">
        <v>14946.674452170701</v>
      </c>
      <c r="I42">
        <v>755.09468057634899</v>
      </c>
      <c r="J42">
        <v>8833.7444826092105</v>
      </c>
      <c r="K42">
        <v>16121.749644715799</v>
      </c>
      <c r="M42">
        <f>C42-B42</f>
        <v>615.79157486865006</v>
      </c>
      <c r="N42">
        <f>D42-B42</f>
        <v>12946.15460763328</v>
      </c>
      <c r="O42">
        <f>(G42-F42)+N42</f>
        <v>17752.628169061529</v>
      </c>
      <c r="P42">
        <f>(H42-F42)+N42</f>
        <v>27150.811351154971</v>
      </c>
      <c r="Q42">
        <f>(J42-I42)+P42</f>
        <v>35229.461153187833</v>
      </c>
      <c r="R42">
        <f>(K42-J42)+Q42</f>
        <v>42517.466315294419</v>
      </c>
      <c r="U42">
        <v>7.3308520817694303E-2</v>
      </c>
      <c r="V42">
        <v>3.0956849850868599E-2</v>
      </c>
      <c r="W42">
        <v>2.90245988008952E-2</v>
      </c>
      <c r="X42">
        <v>2.7208858643684001E-2</v>
      </c>
      <c r="Y42">
        <v>3.2389743412849302E-2</v>
      </c>
      <c r="Z42">
        <v>2.2626638048325001E-2</v>
      </c>
      <c r="AC42" s="54">
        <f>1.013*10^5*50*10^(-6)*(M42*10^(-6))/(8.3145*(273.15+15))/3*12.011*10^6</f>
        <v>5.2121432470505455</v>
      </c>
      <c r="AD42" s="54">
        <f>1.013*10^5*50*10^(-6)*(N42*10^(-6))/(8.3145*(273.15+15))/3*12.011*10^6</f>
        <v>109.57800507069484</v>
      </c>
      <c r="AE42" s="54">
        <f>1.013*10^5*50*10^(-6)*(O42*10^(-6))/(8.3145*(273.15+15))/3*12.011*10^6</f>
        <v>150.26064792866003</v>
      </c>
      <c r="AF42" s="54">
        <f>1.013*10^5*50*10^(-6)*(P42*10^(-6))/(8.3145*(273.15+15))/3*12.011*10^6</f>
        <v>229.80814257819449</v>
      </c>
      <c r="AG42" s="54">
        <f>1.013*10^5*50*10^(-6)*(Q42*10^(-6))/(8.3145*(273.15+15))/3*12.011*10^6</f>
        <v>298.18692807868365</v>
      </c>
      <c r="AH42" s="54">
        <f>1.013*10^5*50*10^(-6)*(R42*10^(-6))/(8.3145*(273.15+15))/3*12.011*10^6</f>
        <v>359.87359032028041</v>
      </c>
      <c r="AK42" s="54">
        <f>1.013*10^5*50*10^(-6)*(U42*10^(-6))/(8.3145*(273.15+15))/3*12.011*10^6</f>
        <v>6.2049324369647539E-4</v>
      </c>
      <c r="AL42" s="54">
        <f>1.013*10^5*50*10^(-6)*(V42*10^(-6))/(8.3145*(273.15+15))/3*12.011*10^6</f>
        <v>2.6202296764871972E-4</v>
      </c>
      <c r="AM42" s="54">
        <f>1.013*10^5*50*10^(-6)*(W42*10^(-6))/(8.3145*(273.15+15))/3*12.011*10^6</f>
        <v>2.456681332002728E-4</v>
      </c>
      <c r="AN42" s="54">
        <f>1.013*10^5*50*10^(-6)*(X42*10^(-6))/(8.3145*(273.15+15))/3*12.011*10^6</f>
        <v>2.3029946271980136E-4</v>
      </c>
      <c r="AO42" s="54">
        <f>1.013*10^5*50*10^(-6)*(Y42*10^(-6))/(8.3145*(273.15+15))/3*12.011*10^6</f>
        <v>2.7415117272267344E-4</v>
      </c>
      <c r="AP42" s="54">
        <f>1.013*10^5*50*10^(-6)*(Z42*10^(-6))/(8.3145*(273.15+15))/3*12.011*10^6</f>
        <v>1.9151492732291696E-4</v>
      </c>
      <c r="AZ42" s="18">
        <v>39</v>
      </c>
      <c r="BA42">
        <f>C42-B42</f>
        <v>615.79157486865006</v>
      </c>
      <c r="BB42">
        <f>('7-24-13 Final'!S57-'7-24-13 Initial'!S57)*60</f>
        <v>140.00000000000227</v>
      </c>
      <c r="BC42">
        <f>BD42/60</f>
        <v>7.3308520817695247E-2</v>
      </c>
      <c r="BD42">
        <f>BA42/BB42</f>
        <v>4.3985112490617144</v>
      </c>
      <c r="BE42">
        <f>BD42/3</f>
        <v>1.4661704163539049</v>
      </c>
      <c r="BF42" s="48">
        <f>D42-B42</f>
        <v>12946.15460763328</v>
      </c>
      <c r="BG42">
        <f>('7-29-13 Final #2'!S57-'7-24-13 Initial'!S57)*60</f>
        <v>6970.0000000000045</v>
      </c>
      <c r="BH42">
        <f>BI42/60</f>
        <v>3.0956849850868655E-2</v>
      </c>
      <c r="BI42">
        <f>BF42/BG42</f>
        <v>1.8574109910521193</v>
      </c>
      <c r="BJ42">
        <f>BI42/3</f>
        <v>0.61913699701737313</v>
      </c>
      <c r="BK42" s="48">
        <f>G42-F42</f>
        <v>4806.4735614282508</v>
      </c>
      <c r="BL42">
        <f>60*('8-1-13 Final #1'!S57-'7-30-13 Initial + cap'!S57)</f>
        <v>2760</v>
      </c>
      <c r="BM42">
        <f>BN42/60</f>
        <v>2.9024598800895234E-2</v>
      </c>
      <c r="BN42">
        <f>BK42/BL42</f>
        <v>1.741475928053714</v>
      </c>
      <c r="BO42">
        <f>BN42/3</f>
        <v>0.5804919760179047</v>
      </c>
      <c r="BP42" s="48">
        <f>H42-F42</f>
        <v>14204.656743521691</v>
      </c>
      <c r="BQ42">
        <f>('8-5-13 final 1'!S57-'7-30-13 Initial + cap'!S57)*60</f>
        <v>8701</v>
      </c>
      <c r="BR42">
        <f>BS42/60</f>
        <v>2.7208858643684043E-2</v>
      </c>
      <c r="BS42">
        <f>BP42/BQ42</f>
        <v>1.6325315186210425</v>
      </c>
      <c r="BT42">
        <f>BS42/3</f>
        <v>0.54417717287368084</v>
      </c>
      <c r="BU42" s="48">
        <f>'8-8-13 Final'!U57-'8-5-13 initial'!U57</f>
        <v>8078.6498020328654</v>
      </c>
      <c r="BV42">
        <f>('8-8-13 Final'!S57-'8-5-13 initial'!S57)*60</f>
        <v>4156.9999999999982</v>
      </c>
      <c r="BW42">
        <f>BX42/60</f>
        <v>3.2389743412849288E-2</v>
      </c>
      <c r="BX42">
        <f>BU42/BV42</f>
        <v>1.9433846047709571</v>
      </c>
      <c r="BY42">
        <f>BX42/3</f>
        <v>0.64779486825698573</v>
      </c>
      <c r="BZ42" s="48">
        <v>15366.654964139499</v>
      </c>
      <c r="CA42">
        <v>11319</v>
      </c>
      <c r="CB42">
        <f>CC42/60</f>
        <v>2.2626638048324998E-2</v>
      </c>
      <c r="CC42">
        <v>1.3575982828994999</v>
      </c>
      <c r="CD42">
        <v>0.45253276096650003</v>
      </c>
    </row>
    <row r="43" spans="1:82">
      <c r="A43" s="18">
        <v>40</v>
      </c>
      <c r="B43">
        <v>1913.34532547205</v>
      </c>
      <c r="C43">
        <v>2430.0343102566899</v>
      </c>
      <c r="D43">
        <v>12829.0554540392</v>
      </c>
      <c r="F43">
        <v>890.54867269137299</v>
      </c>
      <c r="G43">
        <v>6542.5215193920303</v>
      </c>
      <c r="H43">
        <v>14864.651926468099</v>
      </c>
      <c r="I43">
        <v>1059.0506607721099</v>
      </c>
      <c r="J43">
        <v>9686.6466632707106</v>
      </c>
      <c r="K43">
        <v>15049.341881897501</v>
      </c>
      <c r="M43">
        <f>C43-B43</f>
        <v>516.68898478463984</v>
      </c>
      <c r="N43">
        <f>D43-B43</f>
        <v>10915.710128567151</v>
      </c>
      <c r="O43">
        <f>(G43-F43)+N43</f>
        <v>16567.68297526781</v>
      </c>
      <c r="P43">
        <f>(H43-F43)+N43</f>
        <v>24889.813382343877</v>
      </c>
      <c r="Q43">
        <f>(J43-I43)+P43</f>
        <v>33517.409384842482</v>
      </c>
      <c r="R43">
        <f>(K43-J43)+Q43</f>
        <v>38880.10460346927</v>
      </c>
      <c r="U43">
        <v>6.1074348083290701E-2</v>
      </c>
      <c r="V43">
        <v>2.6097905916337E-2</v>
      </c>
      <c r="W43">
        <v>3.4130270813409802E-2</v>
      </c>
      <c r="X43">
        <v>2.6764160066223602E-2</v>
      </c>
      <c r="Y43">
        <v>3.4590634281527498E-2</v>
      </c>
      <c r="Z43">
        <v>2.06018307432487E-2</v>
      </c>
      <c r="AC43" s="54">
        <f>1.013*10^5*50*10^(-6)*(M43*10^(-6))/(8.3145*(273.15+15))/3*12.011*10^6</f>
        <v>4.3733255094389678</v>
      </c>
      <c r="AD43" s="54">
        <f>1.013*10^5*50*10^(-6)*(N43*10^(-6))/(8.3145*(273.15+15))/3*12.011*10^6</f>
        <v>92.392048146336208</v>
      </c>
      <c r="AE43" s="54">
        <f>1.013*10^5*50*10^(-6)*(O43*10^(-6))/(8.3145*(273.15+15))/3*12.011*10^6</f>
        <v>140.23111140686805</v>
      </c>
      <c r="AF43" s="54">
        <f>1.013*10^5*50*10^(-6)*(P43*10^(-6))/(8.3145*(273.15+15))/3*12.011*10^6</f>
        <v>210.67074970748592</v>
      </c>
      <c r="AG43" s="54">
        <f>1.013*10^5*50*10^(-6)*(Q43*10^(-6))/(8.3145*(273.15+15))/3*12.011*10^6</f>
        <v>283.69589015747539</v>
      </c>
      <c r="AH43" s="54">
        <f>1.013*10^5*50*10^(-6)*(R43*10^(-6))/(8.3145*(273.15+15))/3*12.011*10^6</f>
        <v>329.08646841557822</v>
      </c>
      <c r="AK43" s="54">
        <f>1.013*10^5*50*10^(-6)*(U43*10^(-6))/(8.3145*(273.15+15))/3*12.011*10^6</f>
        <v>5.1694154957907358E-4</v>
      </c>
      <c r="AL43" s="54">
        <f>1.013*10^5*50*10^(-6)*(V43*10^(-6))/(8.3145*(273.15+15))/3*12.011*10^6</f>
        <v>2.2089620845009304E-4</v>
      </c>
      <c r="AM43" s="54">
        <f>1.013*10^5*50*10^(-6)*(W43*10^(-6))/(8.3145*(273.15+15))/3*12.011*10^6</f>
        <v>2.8888323224958873E-4</v>
      </c>
      <c r="AN43" s="54">
        <f>1.013*10^5*50*10^(-6)*(X43*10^(-6))/(8.3145*(273.15+15))/3*12.011*10^6</f>
        <v>2.2653547376302229E-4</v>
      </c>
      <c r="AO43" s="54">
        <f>1.013*10^5*50*10^(-6)*(Y43*10^(-6))/(8.3145*(273.15+15))/3*12.011*10^6</f>
        <v>2.9277981096138784E-4</v>
      </c>
      <c r="AP43" s="54">
        <f>1.013*10^5*50*10^(-6)*(Z43*10^(-6))/(8.3145*(273.15+15))/3*12.011*10^6</f>
        <v>1.7437668420229103E-4</v>
      </c>
      <c r="AZ43" s="18">
        <v>40</v>
      </c>
      <c r="BA43">
        <f>C43-B43</f>
        <v>516.68898478463984</v>
      </c>
      <c r="BB43">
        <f>('7-24-13 Final'!S58-'7-24-13 Initial'!S58)*60</f>
        <v>141.00000000000136</v>
      </c>
      <c r="BC43">
        <f>BD43/60</f>
        <v>6.1074348083290167E-2</v>
      </c>
      <c r="BD43">
        <f>BA43/BB43</f>
        <v>3.6644608849974101</v>
      </c>
      <c r="BE43">
        <f>BD43/3</f>
        <v>1.2214869616658033</v>
      </c>
      <c r="BF43" s="48">
        <f>D43-B43</f>
        <v>10915.710128567151</v>
      </c>
      <c r="BG43">
        <f>('7-29-13 Final #2'!S58-'7-24-13 Initial'!S58)*60</f>
        <v>6971.0000000000036</v>
      </c>
      <c r="BH43">
        <f>BI43/60</f>
        <v>2.6097905916337077E-2</v>
      </c>
      <c r="BI43">
        <f>BF43/BG43</f>
        <v>1.5658743549802245</v>
      </c>
      <c r="BJ43">
        <f>BI43/3</f>
        <v>0.52195811832674155</v>
      </c>
      <c r="BK43" s="48">
        <f>G43-F43</f>
        <v>5651.9728467006571</v>
      </c>
      <c r="BL43">
        <f>60*('8-1-13 Final #1'!S58-'7-30-13 Initial + cap'!S58)</f>
        <v>2760</v>
      </c>
      <c r="BM43">
        <f>BN43/60</f>
        <v>3.4130270813409767E-2</v>
      </c>
      <c r="BN43">
        <f>BK43/BL43</f>
        <v>2.0478162488045859</v>
      </c>
      <c r="BO43">
        <f>BN43/3</f>
        <v>0.68260541626819526</v>
      </c>
      <c r="BP43" s="48">
        <f>H43-F43</f>
        <v>13974.103253776726</v>
      </c>
      <c r="BQ43">
        <f>('8-5-13 final 1'!S58-'7-30-13 Initial + cap'!S58)*60</f>
        <v>8702.0000000000055</v>
      </c>
      <c r="BR43">
        <f>BS43/60</f>
        <v>2.6764160066223695E-2</v>
      </c>
      <c r="BS43">
        <f>BP43/BQ43</f>
        <v>1.6058496039734218</v>
      </c>
      <c r="BT43">
        <f>BS43/3</f>
        <v>0.53528320132447393</v>
      </c>
      <c r="BU43" s="48">
        <f>'8-8-13 Final'!U58-'8-5-13 initial'!U58</f>
        <v>8627.596002498598</v>
      </c>
      <c r="BV43">
        <f>('8-8-13 Final'!S58-'8-5-13 initial'!S58)*60</f>
        <v>4156.9999999999982</v>
      </c>
      <c r="BW43">
        <f>BX43/60</f>
        <v>3.4590634281527546E-2</v>
      </c>
      <c r="BX43">
        <f>BU43/BV43</f>
        <v>2.0754380568916528</v>
      </c>
      <c r="BY43">
        <f>BX43/3</f>
        <v>0.69181268563055098</v>
      </c>
      <c r="BZ43" s="48">
        <v>13990.291221125401</v>
      </c>
      <c r="CA43">
        <v>11318</v>
      </c>
      <c r="CB43">
        <f>CC43/60</f>
        <v>2.0601830743248666E-2</v>
      </c>
      <c r="CC43">
        <v>1.2361098445949199</v>
      </c>
      <c r="CD43">
        <v>0.412036614864975</v>
      </c>
    </row>
    <row r="44" spans="1:82">
      <c r="A44">
        <v>41</v>
      </c>
      <c r="B44">
        <v>1654.6820444757</v>
      </c>
      <c r="C44">
        <v>2057.3867775662402</v>
      </c>
      <c r="D44">
        <v>11644.654833333199</v>
      </c>
      <c r="F44">
        <v>783.94748981989198</v>
      </c>
      <c r="G44">
        <v>5019.8471609611097</v>
      </c>
      <c r="H44">
        <v>8166.8531400640004</v>
      </c>
      <c r="I44">
        <v>1399.1288645452601</v>
      </c>
      <c r="J44">
        <v>7403.7498807654902</v>
      </c>
      <c r="K44">
        <v>14492.4108609266</v>
      </c>
      <c r="M44">
        <f>C44-B44</f>
        <v>402.70473309054023</v>
      </c>
      <c r="N44">
        <f>D44-B44</f>
        <v>9989.9727888574998</v>
      </c>
      <c r="O44">
        <f>(G44-F44)+N44</f>
        <v>14225.872459998718</v>
      </c>
      <c r="P44">
        <f>(H44-F44)+N44</f>
        <v>17372.878439101609</v>
      </c>
      <c r="Q44">
        <f>(J44-I44)+P44</f>
        <v>23377.499455321838</v>
      </c>
      <c r="R44">
        <f>(K44-J44)+Q44</f>
        <v>30466.160435482947</v>
      </c>
      <c r="U44">
        <v>4.7601032280204403E-2</v>
      </c>
      <c r="V44">
        <v>2.3884599982923301E-2</v>
      </c>
      <c r="W44">
        <v>2.5579104294330999E-2</v>
      </c>
      <c r="X44">
        <v>1.4140246782816401E-2</v>
      </c>
      <c r="Y44">
        <v>2.4080129195621702E-2</v>
      </c>
      <c r="Z44">
        <v>1.92826161179071E-2</v>
      </c>
      <c r="AC44" s="54">
        <f>1.013*10^5*50*10^(-6)*(M44*10^(-6))/(8.3145*(273.15+15))/3*12.011*10^6</f>
        <v>3.4085473734856864</v>
      </c>
      <c r="AD44" s="54">
        <f>1.013*10^5*50*10^(-6)*(N44*10^(-6))/(8.3145*(273.15+15))/3*12.011*10^6</f>
        <v>84.556481989492653</v>
      </c>
      <c r="AE44" s="54">
        <f>1.013*10^5*50*10^(-6)*(O44*10^(-6))/(8.3145*(273.15+15))/3*12.011*10^6</f>
        <v>120.40971020365205</v>
      </c>
      <c r="AF44" s="54">
        <f>1.013*10^5*50*10^(-6)*(P44*10^(-6))/(8.3145*(273.15+15))/3*12.011*10^6</f>
        <v>147.04639480900337</v>
      </c>
      <c r="AG44" s="54">
        <f>1.013*10^5*50*10^(-6)*(Q44*10^(-6))/(8.3145*(273.15+15))/3*12.011*10^6</f>
        <v>197.87031991298969</v>
      </c>
      <c r="AH44" s="54">
        <f>1.013*10^5*50*10^(-6)*(R44*10^(-6))/(8.3145*(273.15+15))/3*12.011*10^6</f>
        <v>257.86970601413657</v>
      </c>
      <c r="AK44" s="54">
        <f>1.013*10^5*50*10^(-6)*(U44*10^(-6))/(8.3145*(273.15+15))/3*12.011*10^6</f>
        <v>4.0290158079025936E-4</v>
      </c>
      <c r="AL44" s="54">
        <f>1.013*10^5*50*10^(-6)*(V44*10^(-6))/(8.3145*(273.15+15))/3*12.011*10^6</f>
        <v>2.0216248742287724E-4</v>
      </c>
      <c r="AM44" s="54">
        <f>1.013*10^5*50*10^(-6)*(W44*10^(-6))/(8.3145*(273.15+15))/3*12.011*10^6</f>
        <v>2.165050012932328E-4</v>
      </c>
      <c r="AN44" s="54">
        <f>1.013*10^5*50*10^(-6)*(X44*10^(-6))/(8.3145*(273.15+15))/3*12.011*10^6</f>
        <v>1.196849628811588E-4</v>
      </c>
      <c r="AO44" s="54">
        <f>1.013*10^5*50*10^(-6)*(Y44*10^(-6))/(8.3145*(273.15+15))/3*12.011*10^6</f>
        <v>2.0381747314720205E-4</v>
      </c>
      <c r="AP44" s="54">
        <f>1.013*10^5*50*10^(-6)*(Z44*10^(-6))/(8.3145*(273.15+15))/3*12.011*10^6</f>
        <v>1.6321067303633573E-4</v>
      </c>
      <c r="AZ44">
        <v>41</v>
      </c>
      <c r="BA44">
        <f>C44-B44</f>
        <v>402.70473309054023</v>
      </c>
      <c r="BB44">
        <f>('7-24-13 Final'!S59-'7-24-13 Initial'!S59)*60</f>
        <v>141.00000000000136</v>
      </c>
      <c r="BC44">
        <f>BD44/60</f>
        <v>4.7601032280205242E-2</v>
      </c>
      <c r="BD44">
        <f>BA44/BB44</f>
        <v>2.8560619368123144</v>
      </c>
      <c r="BE44">
        <f>BD44/3</f>
        <v>0.95202064560410482</v>
      </c>
      <c r="BF44" s="48">
        <f>D44-B44</f>
        <v>9989.9727888574998</v>
      </c>
      <c r="BG44">
        <f>('7-29-13 Final #2'!S59-'7-24-13 Initial'!S59)*60</f>
        <v>6971.0000000000036</v>
      </c>
      <c r="BH44">
        <f>BI44/60</f>
        <v>2.3884599982923291E-2</v>
      </c>
      <c r="BI44">
        <f>BF44/BG44</f>
        <v>1.4330759989753974</v>
      </c>
      <c r="BJ44">
        <f>BI44/3</f>
        <v>0.47769199965846582</v>
      </c>
      <c r="BK44" s="48">
        <f>G44-F44</f>
        <v>4235.8996711412174</v>
      </c>
      <c r="BL44">
        <f>60*('8-1-13 Final #1'!S59-'7-30-13 Initial + cap'!S59)</f>
        <v>2760</v>
      </c>
      <c r="BM44">
        <f>BN44/60</f>
        <v>2.5579104294331023E-2</v>
      </c>
      <c r="BN44">
        <f>BK44/BL44</f>
        <v>1.5347462576598614</v>
      </c>
      <c r="BO44">
        <f>BN44/3</f>
        <v>0.51158208588662046</v>
      </c>
      <c r="BP44" s="48">
        <f>H44-F44</f>
        <v>7382.9056502441081</v>
      </c>
      <c r="BQ44">
        <f>('8-5-13 final 1'!S59-'7-30-13 Initial + cap'!S59)*60</f>
        <v>8701.9999999999982</v>
      </c>
      <c r="BR44">
        <f>BS44/60</f>
        <v>1.414024678281642E-2</v>
      </c>
      <c r="BS44">
        <f>BP44/BQ44</f>
        <v>0.84841480696898519</v>
      </c>
      <c r="BT44">
        <f>BS44/3</f>
        <v>0.28280493565632842</v>
      </c>
      <c r="BU44" s="48">
        <f>'8-8-13 Final'!U59-'8-5-13 initial'!U59</f>
        <v>6004.6210162202324</v>
      </c>
      <c r="BV44">
        <f>('8-8-13 Final'!S59-'8-5-13 initial'!S59)*60</f>
        <v>4155.9999999999991</v>
      </c>
      <c r="BW44">
        <f>BX44/60</f>
        <v>2.4080129195621729E-2</v>
      </c>
      <c r="BX44">
        <f>BU44/BV44</f>
        <v>1.4448077517373037</v>
      </c>
      <c r="BY44">
        <f>BX44/3</f>
        <v>0.48160258391243455</v>
      </c>
      <c r="BZ44" s="48">
        <v>13093.2819963813</v>
      </c>
      <c r="CA44">
        <v>11317</v>
      </c>
      <c r="CB44">
        <f>CC44/60</f>
        <v>1.9282616117907166E-2</v>
      </c>
      <c r="CC44">
        <v>1.15695696707443</v>
      </c>
      <c r="CD44">
        <v>0.38565232235814301</v>
      </c>
    </row>
    <row r="45" spans="1:82">
      <c r="A45" s="18">
        <v>42</v>
      </c>
      <c r="B45">
        <v>1902.8952251508999</v>
      </c>
      <c r="C45">
        <v>2463.8045241033501</v>
      </c>
      <c r="D45">
        <v>18731.6174948966</v>
      </c>
      <c r="F45">
        <v>21017.245976801401</v>
      </c>
      <c r="G45">
        <v>28727.852262172899</v>
      </c>
      <c r="H45">
        <v>32813.426077147</v>
      </c>
      <c r="I45">
        <v>32790.983601855201</v>
      </c>
      <c r="J45">
        <v>31321.897567522999</v>
      </c>
      <c r="K45">
        <v>38353.929646563302</v>
      </c>
      <c r="M45">
        <f>C45-B45</f>
        <v>560.90929895245017</v>
      </c>
      <c r="N45">
        <f>D45-B45</f>
        <v>16828.7222697457</v>
      </c>
      <c r="O45">
        <f>(G45-F45)+N45</f>
        <v>24539.328555117198</v>
      </c>
      <c r="P45">
        <f>(H45-F45)+N45</f>
        <v>28624.902370091299</v>
      </c>
      <c r="Q45">
        <f>(J45-I45)+P45</f>
        <v>27155.816335759097</v>
      </c>
      <c r="R45">
        <f>(K45-J45)+Q45</f>
        <v>34187.848414799402</v>
      </c>
      <c r="U45">
        <v>6.7255311624995706E-2</v>
      </c>
      <c r="V45">
        <v>4.0246621394140002E-2</v>
      </c>
      <c r="W45">
        <v>4.65616321580406E-2</v>
      </c>
      <c r="X45">
        <v>2.2590256425649401E-2</v>
      </c>
      <c r="Y45">
        <v>-5.8914261883711303E-3</v>
      </c>
      <c r="Z45">
        <v>8.1918861470048707E-3</v>
      </c>
      <c r="AC45" s="54">
        <f>1.013*10^5*50*10^(-6)*(M45*10^(-6))/(8.3145*(273.15+15))/3*12.011*10^6</f>
        <v>4.7476122344909761</v>
      </c>
      <c r="AD45" s="54">
        <f>1.013*10^5*50*10^(-6)*(N45*10^(-6))/(8.3145*(273.15+15))/3*12.011*10^6</f>
        <v>142.44058333122493</v>
      </c>
      <c r="AE45" s="54">
        <f>1.013*10^5*50*10^(-6)*(O45*10^(-6))/(8.3145*(273.15+15))/3*12.011*10^6</f>
        <v>207.70419868604188</v>
      </c>
      <c r="AF45" s="54">
        <f>1.013*10^5*50*10^(-6)*(P45*10^(-6))/(8.3145*(273.15+15))/3*12.011*10^6</f>
        <v>242.28504850456369</v>
      </c>
      <c r="AG45" s="54">
        <f>1.013*10^5*50*10^(-6)*(Q45*10^(-6))/(8.3145*(273.15+15))/3*12.011*10^6</f>
        <v>229.85050544538956</v>
      </c>
      <c r="AH45" s="54">
        <f>1.013*10^5*50*10^(-6)*(R45*10^(-6))/(8.3145*(273.15+15))/3*12.011*10^6</f>
        <v>289.37057686181112</v>
      </c>
      <c r="AK45" s="54">
        <f>1.013*10^5*50*10^(-6)*(U45*10^(-6))/(8.3145*(273.15+15))/3*12.011*10^6</f>
        <v>5.6925806168957977E-4</v>
      </c>
      <c r="AL45" s="54">
        <f>1.013*10^5*50*10^(-6)*(V45*10^(-6))/(8.3145*(273.15+15))/3*12.011*10^6</f>
        <v>3.4065285151199345E-4</v>
      </c>
      <c r="AM45" s="54">
        <f>1.013*10^5*50*10^(-6)*(W45*10^(-6))/(8.3145*(273.15+15))/3*12.011*10^6</f>
        <v>3.9410395745662546E-4</v>
      </c>
      <c r="AN45" s="54">
        <f>1.013*10^5*50*10^(-6)*(X45*10^(-6))/(8.3145*(273.15+15))/3*12.011*10^6</f>
        <v>1.9120698834374885E-4</v>
      </c>
      <c r="AO45" s="54">
        <f>1.013*10^5*50*10^(-6)*(Y45*10^(-6))/(8.3145*(273.15+15))/3*12.011*10^6</f>
        <v>-4.9865828758318419E-5</v>
      </c>
      <c r="AP45" s="54">
        <f>1.013*10^5*50*10^(-6)*(Z45*10^(-6))/(8.3145*(273.15+15))/3*12.011*10^6</f>
        <v>6.9337233252705335E-5</v>
      </c>
      <c r="AZ45" s="18">
        <v>42</v>
      </c>
      <c r="BA45">
        <f>C45-B45</f>
        <v>560.90929895245017</v>
      </c>
      <c r="BB45">
        <f>('7-24-13 Final'!S60-'7-24-13 Initial'!S60)*60</f>
        <v>138.99999999999636</v>
      </c>
      <c r="BC45">
        <f>BD45/60</f>
        <v>6.7255311624995789E-2</v>
      </c>
      <c r="BD45">
        <f>BA45/BB45</f>
        <v>4.035318697499747</v>
      </c>
      <c r="BE45">
        <f>BD45/3</f>
        <v>1.3451062324999157</v>
      </c>
      <c r="BF45" s="48">
        <f>D45-B45</f>
        <v>16828.7222697457</v>
      </c>
      <c r="BG45">
        <f>('7-29-13 Final #2'!S60-'7-24-13 Initial'!S60)*60</f>
        <v>6968.9999999999982</v>
      </c>
      <c r="BH45">
        <f>BI45/60</f>
        <v>4.0246621394140016E-2</v>
      </c>
      <c r="BI45">
        <f>BF45/BG45</f>
        <v>2.4147972836484008</v>
      </c>
      <c r="BJ45">
        <f>BI45/3</f>
        <v>0.80493242788280028</v>
      </c>
      <c r="BK45" s="48">
        <f>G45-F45</f>
        <v>7710.6062853714975</v>
      </c>
      <c r="BL45">
        <f>60*('8-1-13 Final #1'!S60-'7-30-13 Initial + cap'!S60)</f>
        <v>2760</v>
      </c>
      <c r="BM45">
        <f>BN45/60</f>
        <v>4.656163215804044E-2</v>
      </c>
      <c r="BN45">
        <f>BK45/BL45</f>
        <v>2.7936979294824265</v>
      </c>
      <c r="BO45">
        <f>BN45/3</f>
        <v>0.93123264316080878</v>
      </c>
      <c r="BP45" s="48">
        <f>H45-F45</f>
        <v>11796.180100345598</v>
      </c>
      <c r="BQ45">
        <f>('8-5-13 final 1'!S60-'7-30-13 Initial + cap'!S60)*60</f>
        <v>8702.9999999999964</v>
      </c>
      <c r="BR45">
        <f>BS45/60</f>
        <v>2.2590256425649397E-2</v>
      </c>
      <c r="BS45">
        <f>BP45/BQ45</f>
        <v>1.3554153855389639</v>
      </c>
      <c r="BT45">
        <f>BS45/3</f>
        <v>0.45180512851298799</v>
      </c>
      <c r="BU45" s="48">
        <f>'8-8-13 Final'!U60-'8-5-13 initial'!U60</f>
        <v>-1469.0860343322238</v>
      </c>
      <c r="BV45">
        <f>('8-8-13 Final'!S60-'8-5-13 initial'!S60)*60</f>
        <v>4155.9999999999991</v>
      </c>
      <c r="BW45">
        <f>BX45/60</f>
        <v>-5.8914261883711268E-3</v>
      </c>
      <c r="BX45">
        <f>BU45/BV45</f>
        <v>-0.3534855713022676</v>
      </c>
      <c r="BY45">
        <f>BX45/3</f>
        <v>-0.11782852376742253</v>
      </c>
      <c r="BZ45" s="48">
        <v>5562.9460447080601</v>
      </c>
      <c r="CA45">
        <v>11318</v>
      </c>
      <c r="CB45">
        <f>CC45/60</f>
        <v>8.1918861470048673E-3</v>
      </c>
      <c r="CC45">
        <v>0.491513168820292</v>
      </c>
      <c r="CD45">
        <v>0.16383772294009699</v>
      </c>
    </row>
    <row r="46" spans="1:82">
      <c r="A46" s="18">
        <v>43</v>
      </c>
      <c r="B46">
        <v>1914.0744369151</v>
      </c>
      <c r="C46">
        <v>2100.0907845842798</v>
      </c>
      <c r="D46">
        <v>12620.521682103201</v>
      </c>
      <c r="F46">
        <v>743.81929025070804</v>
      </c>
      <c r="G46">
        <v>2515.1052833230201</v>
      </c>
      <c r="H46">
        <v>4913.1009363544799</v>
      </c>
      <c r="I46">
        <v>779.43218206148401</v>
      </c>
      <c r="J46">
        <v>4563.2524209490102</v>
      </c>
      <c r="K46">
        <v>6245.1433306811196</v>
      </c>
      <c r="M46">
        <f>C46-B46</f>
        <v>186.01634766917982</v>
      </c>
      <c r="N46">
        <f>D46-B46</f>
        <v>10706.447245188101</v>
      </c>
      <c r="O46">
        <f>(G46-F46)+N46</f>
        <v>12477.733238260413</v>
      </c>
      <c r="P46">
        <f>(H46-F46)+N46</f>
        <v>14875.728891291874</v>
      </c>
      <c r="Q46">
        <f>(J46-I46)+P46</f>
        <v>18659.549130179399</v>
      </c>
      <c r="R46">
        <f>(K46-J46)+Q46</f>
        <v>20341.440039911507</v>
      </c>
      <c r="U46">
        <v>2.1987747951439301E-2</v>
      </c>
      <c r="V46">
        <v>2.6206607052401399E-2</v>
      </c>
      <c r="W46">
        <v>1.06961714557507E-2</v>
      </c>
      <c r="X46">
        <v>8.1721777531533393E-3</v>
      </c>
      <c r="Y46">
        <v>1.4504064086505401E-2</v>
      </c>
      <c r="Z46">
        <v>7.9151260587650707E-3</v>
      </c>
      <c r="AC46" s="54">
        <f>1.013*10^5*50*10^(-6)*(M46*10^(-6))/(8.3145*(273.15+25))/3*12.011*10^6</f>
        <v>1.5216596467121022</v>
      </c>
      <c r="AD46" s="54">
        <f>1.013*10^5*50*10^(-6)*(N46*10^(-6))/(8.3145*(273.15+25))/3*12.011*10^6</f>
        <v>87.581381619363739</v>
      </c>
      <c r="AE46" s="54">
        <f>1.013*10^5*50*10^(-6)*(O46*10^(-6))/(8.3145*(273.15+25))/3*12.011*10^6</f>
        <v>102.07093832885226</v>
      </c>
      <c r="AF46" s="54">
        <f>1.013*10^5*50*10^(-6)*(P46*10^(-6))/(8.3145*(273.15+25))/3*12.011*10^6</f>
        <v>121.68713477572823</v>
      </c>
      <c r="AG46" s="54">
        <f>1.013*10^5*50*10^(-6)*(Q46*10^(-6))/(8.3145*(273.15+25))/3*12.011*10^6</f>
        <v>152.63971846029466</v>
      </c>
      <c r="AH46" s="54">
        <f>1.013*10^5*50*10^(-6)*(R46*10^(-6))/(8.3145*(273.15+25))/3*12.011*10^6</f>
        <v>166.39800131865277</v>
      </c>
      <c r="AK46" s="54">
        <f>1.013*10^5*50*10^(-6)*(U46*10^(-6))/(8.3145*(273.15+25))/3*12.011*10^6</f>
        <v>1.7986520646714831E-4</v>
      </c>
      <c r="AL46" s="54">
        <f>1.013*10^5*50*10^(-6)*(V46*10^(-6))/(8.3145*(273.15+25))/3*12.011*10^6</f>
        <v>2.1437651544368601E-4</v>
      </c>
      <c r="AM46" s="54">
        <f>1.013*10^5*50*10^(-6)*(W46*10^(-6))/(8.3145*(273.15+25))/3*12.011*10^6</f>
        <v>8.7497323124930722E-5</v>
      </c>
      <c r="AN46" s="54">
        <f>1.013*10^5*50*10^(-6)*(X46*10^(-6))/(8.3145*(273.15+25))/3*12.011*10^6</f>
        <v>6.6850431526842375E-5</v>
      </c>
      <c r="AO46" s="54">
        <f>1.013*10^5*50*10^(-6)*(Y46*10^(-6))/(8.3145*(273.15+25))/3*12.011*10^6</f>
        <v>1.1864682491784142E-4</v>
      </c>
      <c r="AP46" s="54">
        <f>1.013*10^5*50*10^(-6)*(Z46*10^(-6))/(8.3145*(273.15+25))/3*12.011*10^6</f>
        <v>6.4747685207119812E-5</v>
      </c>
      <c r="AZ46" s="18">
        <v>43</v>
      </c>
      <c r="BA46">
        <f>C46-B46</f>
        <v>186.01634766917982</v>
      </c>
      <c r="BB46">
        <f>('7-24-13 Final'!S61-'7-24-13 Initial'!S61)*60</f>
        <v>141.00000000000136</v>
      </c>
      <c r="BC46">
        <f>BD46/60</f>
        <v>2.1987747951439481E-2</v>
      </c>
      <c r="BD46">
        <f>BA46/BB46</f>
        <v>1.3192648770863689</v>
      </c>
      <c r="BE46">
        <f>BD46/3</f>
        <v>0.43975495902878964</v>
      </c>
      <c r="BF46" s="48">
        <f>D46-B46</f>
        <v>10706.447245188101</v>
      </c>
      <c r="BG46">
        <f>('7-29-13 Final #2'!S61-'7-24-13 Initial'!S61)*60</f>
        <v>6809.0000000000009</v>
      </c>
      <c r="BH46">
        <f>BI46/60</f>
        <v>2.6206607052401475E-2</v>
      </c>
      <c r="BI46">
        <f>BF46/BG46</f>
        <v>1.5723964231440886</v>
      </c>
      <c r="BJ46">
        <f>BI46/3</f>
        <v>0.52413214104802952</v>
      </c>
      <c r="BK46" s="48">
        <f>G46-F46</f>
        <v>1771.2859930723121</v>
      </c>
      <c r="BL46">
        <f>60*('8-1-13 Final #1'!S61-'7-30-13 Initial + cap'!S61)</f>
        <v>2760</v>
      </c>
      <c r="BM46">
        <f>BN46/60</f>
        <v>1.0696171455750676E-2</v>
      </c>
      <c r="BN46">
        <f>BK46/BL46</f>
        <v>0.6417702873450406</v>
      </c>
      <c r="BO46">
        <f>BN46/3</f>
        <v>0.21392342911501352</v>
      </c>
      <c r="BP46" s="48">
        <f>H46-F46</f>
        <v>4169.2816461037719</v>
      </c>
      <c r="BQ46">
        <f>('8-5-13 final 1'!S61-'7-30-13 Initial + cap'!S61)*60</f>
        <v>8502.9999999999945</v>
      </c>
      <c r="BR46">
        <f>BS46/60</f>
        <v>8.1721777531533462E-3</v>
      </c>
      <c r="BS46">
        <f>BP46/BQ46</f>
        <v>0.49033066518920082</v>
      </c>
      <c r="BT46">
        <f>BS46/3</f>
        <v>0.16344355506306693</v>
      </c>
      <c r="BU46" s="48">
        <f>'8-8-13 Final'!U61-'8-5-13 initial'!U61</f>
        <v>3783.8202388875302</v>
      </c>
      <c r="BV46">
        <f>('8-8-13 Final'!S61-'8-5-13 initial'!S61)*60</f>
        <v>4348.0000000000018</v>
      </c>
      <c r="BW46">
        <f>BX46/60</f>
        <v>1.4504064086505399E-2</v>
      </c>
      <c r="BX46">
        <f>BU46/BV46</f>
        <v>0.87024384519032394</v>
      </c>
      <c r="BY46">
        <f>BX46/3</f>
        <v>0.290081281730108</v>
      </c>
      <c r="BZ46" s="48">
        <v>5465.71114861964</v>
      </c>
      <c r="CA46">
        <v>11509</v>
      </c>
      <c r="CB46">
        <f>CC46/60</f>
        <v>7.9151260587650672E-3</v>
      </c>
      <c r="CC46">
        <v>0.47490756352590402</v>
      </c>
      <c r="CD46">
        <v>0.158302521175301</v>
      </c>
    </row>
    <row r="47" spans="1:82">
      <c r="A47">
        <v>44</v>
      </c>
      <c r="B47">
        <v>2356.5713705390299</v>
      </c>
      <c r="C47">
        <v>2508.7727560746698</v>
      </c>
      <c r="D47">
        <v>11574.147725836499</v>
      </c>
      <c r="F47">
        <v>989.90796541291297</v>
      </c>
      <c r="G47">
        <v>5052.7419151355598</v>
      </c>
      <c r="H47">
        <v>7194.7701568914099</v>
      </c>
      <c r="I47">
        <v>1102.6025380313299</v>
      </c>
      <c r="J47">
        <v>5978.1011786573399</v>
      </c>
      <c r="K47">
        <v>5151.8730307864698</v>
      </c>
      <c r="M47">
        <f>C47-B47</f>
        <v>152.20138553563993</v>
      </c>
      <c r="N47">
        <f>D47-B47</f>
        <v>9217.5763552974695</v>
      </c>
      <c r="O47">
        <f>(G47-F47)+N47</f>
        <v>13280.410305020116</v>
      </c>
      <c r="P47">
        <f>(H47-F47)+N47</f>
        <v>15422.438546775968</v>
      </c>
      <c r="Q47">
        <f>(J47-I47)+P47</f>
        <v>20297.937187401978</v>
      </c>
      <c r="R47">
        <f>(K47-J47)+Q47</f>
        <v>19471.70903953111</v>
      </c>
      <c r="U47">
        <v>1.79907075101229E-2</v>
      </c>
      <c r="V47">
        <v>2.2562237125611902E-2</v>
      </c>
      <c r="W47">
        <v>2.45340214355232E-2</v>
      </c>
      <c r="X47">
        <v>1.2162103946604099E-2</v>
      </c>
      <c r="Y47">
        <v>1.8667197490719101E-2</v>
      </c>
      <c r="Z47">
        <v>5.85882815747192E-3</v>
      </c>
      <c r="AC47" s="54">
        <f>1.013*10^5*50*10^(-6)*(M47*10^(-6))/(8.3145*(273.15+25))/3*12.011*10^6</f>
        <v>1.2450449083923543</v>
      </c>
      <c r="AD47" s="54">
        <f>1.013*10^5*50*10^(-6)*(N47*10^(-6))/(8.3145*(273.15+25))/3*12.011*10^6</f>
        <v>75.402050175118433</v>
      </c>
      <c r="AE47" s="54">
        <f>1.013*10^5*50*10^(-6)*(O47*10^(-6))/(8.3145*(273.15+25))/3*12.011*10^6</f>
        <v>108.63703489581461</v>
      </c>
      <c r="AF47" s="54">
        <f>1.013*10^5*50*10^(-6)*(P47*10^(-6))/(8.3145*(273.15+25))/3*12.011*10^6</f>
        <v>126.15935472651192</v>
      </c>
      <c r="AG47" s="54">
        <f>1.013*10^5*50*10^(-6)*(Q47*10^(-6))/(8.3145*(273.15+25))/3*12.011*10^6</f>
        <v>166.0421372453599</v>
      </c>
      <c r="AH47" s="54">
        <f>1.013*10^5*50*10^(-6)*(R47*10^(-6))/(8.3145*(273.15+25))/3*12.011*10^6</f>
        <v>159.283387020736</v>
      </c>
      <c r="AK47" s="54">
        <f>1.013*10^5*50*10^(-6)*(U47*10^(-6))/(8.3145*(273.15+25))/3*12.011*10^6</f>
        <v>1.4716842888798498E-4</v>
      </c>
      <c r="AL47" s="54">
        <f>1.013*10^5*50*10^(-6)*(V47*10^(-6))/(8.3145*(273.15+25))/3*12.011*10^6</f>
        <v>1.8456466973887156E-4</v>
      </c>
      <c r="AM47" s="54">
        <f>1.013*10^5*50*10^(-6)*(W47*10^(-6))/(8.3145*(273.15+25))/3*12.011*10^6</f>
        <v>2.0069435217811671E-4</v>
      </c>
      <c r="AN47" s="54">
        <f>1.013*10^5*50*10^(-6)*(X47*10^(-6))/(8.3145*(273.15+25))/3*12.011*10^6</f>
        <v>9.9489012802135175E-5</v>
      </c>
      <c r="AO47" s="54">
        <f>1.013*10^5*50*10^(-6)*(Y47*10^(-6))/(8.3145*(273.15+25))/3*12.011*10^6</f>
        <v>1.5270228393769809E-4</v>
      </c>
      <c r="AP47" s="54">
        <f>1.013*10^5*50*10^(-6)*(Z47*10^(-6))/(8.3145*(273.15+25))/3*12.011*10^6</f>
        <v>4.7926660726081691E-5</v>
      </c>
      <c r="AZ47">
        <v>44</v>
      </c>
      <c r="BA47">
        <f>C47-B47</f>
        <v>152.20138553563993</v>
      </c>
      <c r="BB47">
        <f>('7-24-13 Final'!S62-'7-24-13 Initial'!S62)*60</f>
        <v>141.00000000000136</v>
      </c>
      <c r="BC47">
        <f>BD47/60</f>
        <v>1.7990707510122751E-2</v>
      </c>
      <c r="BD47">
        <f>BA47/BB47</f>
        <v>1.079442450607365</v>
      </c>
      <c r="BE47">
        <f>BD47/3</f>
        <v>0.359814150202455</v>
      </c>
      <c r="BF47" s="48">
        <f>D47-B47</f>
        <v>9217.5763552974695</v>
      </c>
      <c r="BG47">
        <f>('7-29-13 Final #2'!S62-'7-24-13 Initial'!S62)*60</f>
        <v>6809.0000000000009</v>
      </c>
      <c r="BH47">
        <f>BI47/60</f>
        <v>2.2562237125611857E-2</v>
      </c>
      <c r="BI47">
        <f>BF47/BG47</f>
        <v>1.3537342275367115</v>
      </c>
      <c r="BJ47">
        <f>BI47/3</f>
        <v>0.45124474251223717</v>
      </c>
      <c r="BK47" s="48">
        <f>G47-F47</f>
        <v>4062.833949722647</v>
      </c>
      <c r="BL47">
        <f>60*('8-1-13 Final #1'!S62-'7-30-13 Initial + cap'!S62)</f>
        <v>2760</v>
      </c>
      <c r="BM47">
        <f>BN47/60</f>
        <v>2.4534021435523232E-2</v>
      </c>
      <c r="BN47">
        <f>BK47/BL47</f>
        <v>1.4720412861313938</v>
      </c>
      <c r="BO47">
        <f>BN47/3</f>
        <v>0.49068042871046463</v>
      </c>
      <c r="BP47" s="48">
        <f>H47-F47</f>
        <v>6204.8621914784972</v>
      </c>
      <c r="BQ47">
        <f>('8-5-13 final 1'!S62-'7-30-13 Initial + cap'!S62)*60</f>
        <v>8503.0000000000018</v>
      </c>
      <c r="BR47">
        <f>BS47/60</f>
        <v>1.2162103946604132E-2</v>
      </c>
      <c r="BS47">
        <f>BP47/BQ47</f>
        <v>0.72972623679624793</v>
      </c>
      <c r="BT47">
        <f>BS47/3</f>
        <v>0.24324207893208263</v>
      </c>
      <c r="BU47" s="48">
        <f>'8-8-13 Final'!U62-'8-5-13 initial'!U62</f>
        <v>4875.498640626005</v>
      </c>
      <c r="BV47">
        <f>('8-8-13 Final'!S62-'8-5-13 initial'!S62)*60</f>
        <v>4352.9999999999973</v>
      </c>
      <c r="BW47">
        <f>BX47/60</f>
        <v>1.8667197490719076E-2</v>
      </c>
      <c r="BX47">
        <f>BU47/BV47</f>
        <v>1.1200318494431445</v>
      </c>
      <c r="BY47">
        <f>BX47/3</f>
        <v>0.37334394981438151</v>
      </c>
      <c r="BZ47" s="48">
        <v>4049.2704927551399</v>
      </c>
      <c r="CA47">
        <v>11519</v>
      </c>
      <c r="CB47">
        <f>CC47/60</f>
        <v>5.8588281574719165E-3</v>
      </c>
      <c r="CC47">
        <v>0.35152968944831497</v>
      </c>
      <c r="CD47">
        <v>0.117176563149438</v>
      </c>
    </row>
    <row r="48" spans="1:82">
      <c r="A48" s="18">
        <v>45</v>
      </c>
      <c r="B48">
        <v>1861.64611984005</v>
      </c>
      <c r="C48">
        <v>2068.2032553776799</v>
      </c>
      <c r="D48">
        <v>11277.628604097499</v>
      </c>
      <c r="F48">
        <v>779.00993900081505</v>
      </c>
      <c r="G48">
        <v>2644.9195963406601</v>
      </c>
      <c r="H48">
        <v>4609.6120998787101</v>
      </c>
      <c r="I48">
        <v>929.19135652292402</v>
      </c>
      <c r="J48">
        <v>3815.95337205127</v>
      </c>
      <c r="K48">
        <v>6876.0550833306197</v>
      </c>
      <c r="M48">
        <f>C48-B48</f>
        <v>206.55713553762985</v>
      </c>
      <c r="N48">
        <f>D48-B48</f>
        <v>9415.982484257449</v>
      </c>
      <c r="O48">
        <f>(G48-F48)+N48</f>
        <v>11281.892141597295</v>
      </c>
      <c r="P48">
        <f>(H48-F48)+N48</f>
        <v>13246.584645135345</v>
      </c>
      <c r="Q48">
        <f>(J48-I48)+P48</f>
        <v>16133.34666066369</v>
      </c>
      <c r="R48">
        <f>(K48-J48)+Q48</f>
        <v>19193.448371943039</v>
      </c>
      <c r="U48">
        <v>2.4243795250895799E-2</v>
      </c>
      <c r="V48">
        <v>2.30478838896007E-2</v>
      </c>
      <c r="W48">
        <v>1.1267570394564301E-2</v>
      </c>
      <c r="X48">
        <v>7.5074517107202501E-3</v>
      </c>
      <c r="Y48">
        <v>1.1057848829879501E-2</v>
      </c>
      <c r="Z48">
        <v>8.6059212856468507E-3</v>
      </c>
      <c r="AC48" s="54">
        <f>1.013*10^5*50*10^(-6)*(M48*10^(-6))/(8.3145*(273.15+25))/3*12.011*10^6</f>
        <v>1.6896883624821872</v>
      </c>
      <c r="AD48" s="54">
        <f>1.013*10^5*50*10^(-6)*(N48*10^(-6))/(8.3145*(273.15+25))/3*12.011*10^6</f>
        <v>77.025061291516025</v>
      </c>
      <c r="AE48" s="54">
        <f>1.013*10^5*50*10^(-6)*(O48*10^(-6))/(8.3145*(273.15+25))/3*12.011*10^6</f>
        <v>92.288662934926194</v>
      </c>
      <c r="AF48" s="54">
        <f>1.013*10^5*50*10^(-6)*(P48*10^(-6))/(8.3145*(273.15+25))/3*12.011*10^6</f>
        <v>108.36033264724878</v>
      </c>
      <c r="AG48" s="54">
        <f>1.013*10^5*50*10^(-6)*(Q48*10^(-6))/(8.3145*(273.15+25))/3*12.011*10^6</f>
        <v>131.97475860352498</v>
      </c>
      <c r="AH48" s="54">
        <f>1.013*10^5*50*10^(-6)*(R48*10^(-6))/(8.3145*(273.15+25))/3*12.011*10^6</f>
        <v>157.00714606427465</v>
      </c>
      <c r="AK48" s="54">
        <f>1.013*10^5*50*10^(-6)*(U48*10^(-6))/(8.3145*(273.15+25))/3*12.011*10^6</f>
        <v>1.9832023033828708E-4</v>
      </c>
      <c r="AL48" s="54">
        <f>1.013*10^5*50*10^(-6)*(V48*10^(-6))/(8.3145*(273.15+25))/3*12.011*10^6</f>
        <v>1.8853738016232487E-4</v>
      </c>
      <c r="AM48" s="54">
        <f>1.013*10^5*50*10^(-6)*(W48*10^(-6))/(8.3145*(273.15+25))/3*12.011*10^6</f>
        <v>9.2171507508515609E-5</v>
      </c>
      <c r="AN48" s="54">
        <f>1.013*10^5*50*10^(-6)*(X48*10^(-6))/(8.3145*(273.15+25))/3*12.011*10^6</f>
        <v>6.1412808395525217E-5</v>
      </c>
      <c r="AO48" s="54">
        <f>1.013*10^5*50*10^(-6)*(Y48*10^(-6))/(8.3145*(273.15+25))/3*12.011*10^6</f>
        <v>9.0455933334391246E-5</v>
      </c>
      <c r="AP48" s="54">
        <f>1.013*10^5*50*10^(-6)*(Z48*10^(-6))/(8.3145*(273.15+25))/3*12.011*10^6</f>
        <v>7.0398560703056114E-5</v>
      </c>
      <c r="AZ48" s="18">
        <v>45</v>
      </c>
      <c r="BA48">
        <f>C48-B48</f>
        <v>206.55713553762985</v>
      </c>
      <c r="BB48">
        <f>('7-24-13 Final'!S63-'7-24-13 Initial'!S63)*60</f>
        <v>142.00000000000045</v>
      </c>
      <c r="BC48">
        <f>BD48/60</f>
        <v>2.4243795250895442E-2</v>
      </c>
      <c r="BD48">
        <f>BA48/BB48</f>
        <v>1.4546277150537266</v>
      </c>
      <c r="BE48">
        <f>BD48/3</f>
        <v>0.48487590501790884</v>
      </c>
      <c r="BF48" s="48">
        <f>D48-B48</f>
        <v>9415.982484257449</v>
      </c>
      <c r="BG48">
        <f>('7-29-13 Final #2'!S63-'7-24-13 Initial'!S63)*60</f>
        <v>6809.0000000000009</v>
      </c>
      <c r="BH48">
        <f>BI48/60</f>
        <v>2.3047883889600645E-2</v>
      </c>
      <c r="BI48">
        <f>BF48/BG48</f>
        <v>1.3828730333760386</v>
      </c>
      <c r="BJ48">
        <f>BI48/3</f>
        <v>0.46095767779201285</v>
      </c>
      <c r="BK48" s="48">
        <f>G48-F48</f>
        <v>1865.9096573398451</v>
      </c>
      <c r="BL48">
        <f>60*('8-1-13 Final #1'!S63-'7-30-13 Initial + cap'!S63)</f>
        <v>2760</v>
      </c>
      <c r="BM48">
        <f>BN48/60</f>
        <v>1.1267570394564282E-2</v>
      </c>
      <c r="BN48">
        <f>BK48/BL48</f>
        <v>0.67605422367385692</v>
      </c>
      <c r="BO48">
        <f>BN48/3</f>
        <v>0.22535140789128563</v>
      </c>
      <c r="BP48" s="48">
        <f>H48-F48</f>
        <v>3830.6021608778951</v>
      </c>
      <c r="BQ48">
        <f>('8-5-13 final 1'!S63-'7-30-13 Initial + cap'!S63)*60</f>
        <v>8504</v>
      </c>
      <c r="BR48">
        <f>BS48/60</f>
        <v>7.5074517107202397E-3</v>
      </c>
      <c r="BS48">
        <f>BP48/BQ48</f>
        <v>0.45044710264321436</v>
      </c>
      <c r="BT48">
        <f>BS48/3</f>
        <v>0.15014903421440479</v>
      </c>
      <c r="BU48" s="48">
        <f>'8-8-13 Final'!U63-'8-5-13 initial'!U63</f>
        <v>2886.7620155283425</v>
      </c>
      <c r="BV48">
        <f>('8-8-13 Final'!S63-'8-5-13 initial'!S63)*60</f>
        <v>4350.9999999999991</v>
      </c>
      <c r="BW48">
        <f>BX48/60</f>
        <v>1.1057848829879504E-2</v>
      </c>
      <c r="BX48">
        <f>BU48/BV48</f>
        <v>0.66347092979277023</v>
      </c>
      <c r="BY48">
        <f>BX48/3</f>
        <v>0.22115697659759007</v>
      </c>
      <c r="BZ48" s="48">
        <v>5946.86372680769</v>
      </c>
      <c r="CA48">
        <v>11517</v>
      </c>
      <c r="CB48">
        <f>CC48/60</f>
        <v>8.6059212856468507E-3</v>
      </c>
      <c r="CC48">
        <v>0.51635527713881102</v>
      </c>
      <c r="CD48">
        <v>0.17211842571293701</v>
      </c>
    </row>
    <row r="49" spans="1:82">
      <c r="A49" s="18">
        <v>46</v>
      </c>
      <c r="B49">
        <v>1367.61244229674</v>
      </c>
      <c r="C49">
        <v>1544.0408558546601</v>
      </c>
      <c r="D49">
        <v>10530.426626996899</v>
      </c>
      <c r="F49">
        <v>810.96371517356101</v>
      </c>
      <c r="G49">
        <v>2684.7013754582299</v>
      </c>
      <c r="H49">
        <v>863.54221764084195</v>
      </c>
      <c r="I49">
        <v>806.17618323277497</v>
      </c>
      <c r="J49">
        <v>3890.3622390062701</v>
      </c>
      <c r="K49">
        <v>5638.0238290163297</v>
      </c>
      <c r="M49">
        <f>C49-B49</f>
        <v>176.42841355792007</v>
      </c>
      <c r="N49">
        <f>D49-B49</f>
        <v>9162.8141847001589</v>
      </c>
      <c r="O49">
        <f>(G49-F49)+N49</f>
        <v>11036.551844984828</v>
      </c>
      <c r="P49">
        <f>(H49-F49)+N49</f>
        <v>9215.3926871674394</v>
      </c>
      <c r="Q49">
        <f>(J49-I49)+P49</f>
        <v>12299.578742940936</v>
      </c>
      <c r="R49">
        <f>(K49-J49)+Q49</f>
        <v>14047.240332950994</v>
      </c>
      <c r="U49">
        <v>2.07075602767526E-2</v>
      </c>
      <c r="V49">
        <v>2.24281935298874E-2</v>
      </c>
      <c r="W49">
        <v>1.1314840943748E-2</v>
      </c>
      <c r="X49">
        <v>1.0302238119617799E-4</v>
      </c>
      <c r="Y49">
        <v>1.18168048113927E-2</v>
      </c>
      <c r="Z49">
        <v>6.9935557183145999E-3</v>
      </c>
      <c r="AC49" s="54">
        <f>1.013*10^5*50*10^(-6)*(M49*10^(-6))/(8.3145*(273.15+25))/3*12.011*10^6</f>
        <v>1.4432279786611566</v>
      </c>
      <c r="AD49" s="54">
        <f>1.013*10^5*50*10^(-6)*(N49*10^(-6))/(8.3145*(273.15+25))/3*12.011*10^6</f>
        <v>74.954082100223815</v>
      </c>
      <c r="AE49" s="54">
        <f>1.013*10^5*50*10^(-6)*(O49*10^(-6))/(8.3145*(273.15+25))/3*12.011*10^6</f>
        <v>90.28171874026053</v>
      </c>
      <c r="AF49" s="54">
        <f>1.013*10^5*50*10^(-6)*(P49*10^(-6))/(8.3145*(273.15+25))/3*12.011*10^6</f>
        <v>75.384187230721821</v>
      </c>
      <c r="AG49" s="54">
        <f>1.013*10^5*50*10^(-6)*(Q49*10^(-6))/(8.3145*(273.15+25))/3*12.011*10^6</f>
        <v>100.6135905752552</v>
      </c>
      <c r="AH49" s="54">
        <f>1.013*10^5*50*10^(-6)*(R49*10^(-6))/(8.3145*(273.15+25))/3*12.011*10^6</f>
        <v>114.90989383542095</v>
      </c>
      <c r="AK49" s="54">
        <f>1.013*10^5*50*10^(-6)*(U49*10^(-6))/(8.3145*(273.15+25))/3*12.011*10^6</f>
        <v>1.6939295524193133E-4</v>
      </c>
      <c r="AL49" s="54">
        <f>1.013*10^5*50*10^(-6)*(V49*10^(-6))/(8.3145*(273.15+25))/3*12.011*10^6</f>
        <v>1.8346816003383791E-4</v>
      </c>
      <c r="AM49" s="54">
        <f>1.013*10^5*50*10^(-6)*(W49*10^(-6))/(8.3145*(273.15+25))/3*12.011*10^6</f>
        <v>9.2558192270753156E-5</v>
      </c>
      <c r="AN49" s="54">
        <f>1.013*10^5*50*10^(-6)*(X49*10^(-6))/(8.3145*(273.15+25))/3*12.011*10^6</f>
        <v>8.4274851183087378E-7</v>
      </c>
      <c r="AO49" s="54">
        <f>1.013*10^5*50*10^(-6)*(Y49*10^(-6))/(8.3145*(273.15+25))/3*12.011*10^6</f>
        <v>9.6664380630396039E-5</v>
      </c>
      <c r="AP49" s="54">
        <f>1.013*10^5*50*10^(-6)*(Z49*10^(-6))/(8.3145*(273.15+25))/3*12.011*10^6</f>
        <v>5.720901230959492E-5</v>
      </c>
      <c r="AZ49" s="18">
        <v>46</v>
      </c>
      <c r="BA49">
        <f>C49-B49</f>
        <v>176.42841355792007</v>
      </c>
      <c r="BB49">
        <f>('7-24-13 Final'!S64-'7-24-13 Initial'!S64)*60</f>
        <v>141.99999999999363</v>
      </c>
      <c r="BC49">
        <f>BD49/60</f>
        <v>2.0707560276752111E-2</v>
      </c>
      <c r="BD49">
        <f>BA49/BB49</f>
        <v>1.2424536166051265</v>
      </c>
      <c r="BE49">
        <f>BD49/3</f>
        <v>0.4141512055350422</v>
      </c>
      <c r="BF49" s="48">
        <f>D49-B49</f>
        <v>9162.8141847001589</v>
      </c>
      <c r="BG49">
        <f>('7-29-13 Final #2'!S64-'7-24-13 Initial'!S64)*60</f>
        <v>6808.9999999999945</v>
      </c>
      <c r="BH49">
        <f>BI49/60</f>
        <v>2.2428193529887324E-2</v>
      </c>
      <c r="BI49">
        <f>BF49/BG49</f>
        <v>1.3456916117932394</v>
      </c>
      <c r="BJ49">
        <f>BI49/3</f>
        <v>0.44856387059774644</v>
      </c>
      <c r="BK49" s="48">
        <f>G49-F49</f>
        <v>1873.7376602846689</v>
      </c>
      <c r="BL49">
        <f>60*('8-1-13 Final #1'!S64-'7-30-13 Initial + cap'!S64)</f>
        <v>2760</v>
      </c>
      <c r="BM49">
        <f>BN49/60</f>
        <v>1.1314840943748E-2</v>
      </c>
      <c r="BN49">
        <f>BK49/BL49</f>
        <v>0.67889045662488001</v>
      </c>
      <c r="BO49">
        <f>BN49/3</f>
        <v>0.22629681887496</v>
      </c>
      <c r="BP49" s="48">
        <f>H49-F49</f>
        <v>52.578502467280941</v>
      </c>
      <c r="BQ49">
        <f>('8-5-13 final 1'!S64-'7-30-13 Initial + cap'!S64)*60</f>
        <v>8506</v>
      </c>
      <c r="BR49">
        <f>BS49/60</f>
        <v>1.030223811961771E-4</v>
      </c>
      <c r="BS49">
        <f>BP49/BQ49</f>
        <v>6.1813428717706256E-3</v>
      </c>
      <c r="BT49">
        <f>BS49/3</f>
        <v>2.0604476239235417E-3</v>
      </c>
      <c r="BU49" s="48">
        <f>'8-8-13 Final'!U64-'8-5-13 initial'!U64</f>
        <v>3084.1860557734985</v>
      </c>
      <c r="BV49">
        <f>('8-8-13 Final'!S64-'8-5-13 initial'!S64)*60</f>
        <v>4350</v>
      </c>
      <c r="BW49">
        <f>BX49/60</f>
        <v>1.1816804811392715E-2</v>
      </c>
      <c r="BX49">
        <f>BU49/BV49</f>
        <v>0.70900828868356292</v>
      </c>
      <c r="BY49">
        <f>BX49/3</f>
        <v>0.23633609622785431</v>
      </c>
      <c r="BZ49" s="48">
        <v>4831.8476457835604</v>
      </c>
      <c r="CA49">
        <v>11515</v>
      </c>
      <c r="CB49">
        <f>CC49/60</f>
        <v>6.9935557183145999E-3</v>
      </c>
      <c r="CC49">
        <v>0.41961334309887599</v>
      </c>
      <c r="CD49">
        <v>0.13987111436629199</v>
      </c>
    </row>
    <row r="50" spans="1:82">
      <c r="A50">
        <v>47</v>
      </c>
      <c r="B50">
        <v>1610.2470146160699</v>
      </c>
      <c r="C50">
        <v>1829.2045137575799</v>
      </c>
      <c r="D50">
        <v>10540.4537998864</v>
      </c>
      <c r="F50">
        <v>907.97388352735595</v>
      </c>
      <c r="G50">
        <v>3680.1805520631201</v>
      </c>
      <c r="H50">
        <v>5713.6079404386601</v>
      </c>
      <c r="I50">
        <v>1387.86695573668</v>
      </c>
      <c r="J50">
        <v>4699.9600917716698</v>
      </c>
      <c r="K50">
        <v>7119.4347624828397</v>
      </c>
      <c r="M50">
        <f>C50-B50</f>
        <v>218.95749914150997</v>
      </c>
      <c r="N50">
        <f>D50-B50</f>
        <v>8930.2067852703294</v>
      </c>
      <c r="O50">
        <f>(G50-F50)+N50</f>
        <v>11702.413453806093</v>
      </c>
      <c r="P50">
        <f>(H50-F50)+N50</f>
        <v>13735.840842181635</v>
      </c>
      <c r="Q50">
        <f>(J50-I50)+P50</f>
        <v>17047.933978216624</v>
      </c>
      <c r="R50">
        <f>(K50-J50)+Q50</f>
        <v>19467.408648927794</v>
      </c>
      <c r="U50">
        <v>2.5699236988440802E-2</v>
      </c>
      <c r="V50">
        <v>2.18588309229703E-2</v>
      </c>
      <c r="W50">
        <v>1.67403784331869E-2</v>
      </c>
      <c r="X50">
        <v>9.41505829887407E-3</v>
      </c>
      <c r="Y50">
        <v>1.26958491875E-2</v>
      </c>
      <c r="Z50">
        <v>8.2535104641814402E-3</v>
      </c>
      <c r="AC50" s="54">
        <f>1.013*10^5*50*10^(-6)*(M50*10^(-6))/(8.3145*(273.15+25))/3*12.011*10^6</f>
        <v>1.7911263981011829</v>
      </c>
      <c r="AD50" s="54">
        <f>1.013*10^5*50*10^(-6)*(N50*10^(-6))/(8.3145*(273.15+25))/3*12.011*10^6</f>
        <v>73.051296147945621</v>
      </c>
      <c r="AE50" s="54">
        <f>1.013*10^5*50*10^(-6)*(O50*10^(-6))/(8.3145*(273.15+25))/3*12.011*10^6</f>
        <v>95.728631084975888</v>
      </c>
      <c r="AF50" s="54">
        <f>1.013*10^5*50*10^(-6)*(P50*10^(-6))/(8.3145*(273.15+25))/3*12.011*10^6</f>
        <v>112.36256912419104</v>
      </c>
      <c r="AG50" s="54">
        <f>1.013*10^5*50*10^(-6)*(Q50*10^(-6))/(8.3145*(273.15+25))/3*12.011*10^6</f>
        <v>139.45630864981453</v>
      </c>
      <c r="AH50" s="54">
        <f>1.013*10^5*50*10^(-6)*(R50*10^(-6))/(8.3145*(273.15+25))/3*12.011*10^6</f>
        <v>159.24820876394213</v>
      </c>
      <c r="AK50" s="54">
        <f>1.013*10^5*50*10^(-6)*(U50*10^(-6))/(8.3145*(273.15+25))/3*12.011*10^6</f>
        <v>2.1022610306352458E-4</v>
      </c>
      <c r="AL50" s="54">
        <f>1.013*10^5*50*10^(-6)*(V50*10^(-6))/(8.3145*(273.15+25))/3*12.011*10^6</f>
        <v>1.7881063334788575E-4</v>
      </c>
      <c r="AM50" s="54">
        <f>1.013*10^5*50*10^(-6)*(W50*10^(-6))/(8.3145*(273.15+25))/3*12.011*10^6</f>
        <v>1.3694042836370879E-4</v>
      </c>
      <c r="AN50" s="54">
        <f>1.013*10^5*50*10^(-6)*(X50*10^(-6))/(8.3145*(273.15+25))/3*12.011*10^6</f>
        <v>7.7017501226921755E-5</v>
      </c>
      <c r="AO50" s="54">
        <f>1.013*10^5*50*10^(-6)*(Y50*10^(-6))/(8.3145*(273.15+25))/3*12.011*10^6</f>
        <v>1.0385518064099812E-4</v>
      </c>
      <c r="AP50" s="54">
        <f>1.013*10^5*50*10^(-6)*(Z50*10^(-6))/(8.3145*(273.15+25))/3*12.011*10^6</f>
        <v>6.7515753182061946E-5</v>
      </c>
      <c r="AZ50">
        <v>47</v>
      </c>
      <c r="BA50">
        <f>C50-B50</f>
        <v>218.95749914150997</v>
      </c>
      <c r="BB50">
        <f>('7-24-13 Final'!S65-'7-24-13 Initial'!S65)*60</f>
        <v>142.00000000000045</v>
      </c>
      <c r="BC50">
        <f>BD50/60</f>
        <v>2.5699236988440056E-2</v>
      </c>
      <c r="BD50">
        <f>BA50/BB50</f>
        <v>1.5419542193064033</v>
      </c>
      <c r="BE50">
        <f>BD50/3</f>
        <v>0.5139847397688011</v>
      </c>
      <c r="BF50" s="48">
        <f>D50-B50</f>
        <v>8930.2067852703294</v>
      </c>
      <c r="BG50">
        <f>('7-29-13 Final #2'!S65-'7-24-13 Initial'!S65)*60</f>
        <v>6809.0000000000009</v>
      </c>
      <c r="BH50">
        <f>BI50/60</f>
        <v>2.1858830922970404E-2</v>
      </c>
      <c r="BI50">
        <f>BF50/BG50</f>
        <v>1.3115298553782242</v>
      </c>
      <c r="BJ50">
        <f>BI50/3</f>
        <v>0.43717661845940808</v>
      </c>
      <c r="BK50" s="48">
        <f>G50-F50</f>
        <v>2772.206668535764</v>
      </c>
      <c r="BL50">
        <f>60*('8-1-13 Final #1'!S65-'7-30-13 Initial + cap'!S65)</f>
        <v>2760</v>
      </c>
      <c r="BM50">
        <f>BN50/60</f>
        <v>1.674037843318698E-2</v>
      </c>
      <c r="BN50">
        <f>BK50/BL50</f>
        <v>1.0044227059912187</v>
      </c>
      <c r="BO50">
        <f>BN50/3</f>
        <v>0.33480756866373956</v>
      </c>
      <c r="BP50" s="48">
        <f>H50-F50</f>
        <v>4805.6340569113045</v>
      </c>
      <c r="BQ50">
        <f>('8-5-13 final 1'!S65-'7-30-13 Initial + cap'!S65)*60</f>
        <v>8507.0000000000055</v>
      </c>
      <c r="BR50">
        <f>BS50/60</f>
        <v>9.4150582988740666E-3</v>
      </c>
      <c r="BS50">
        <f>BP50/BQ50</f>
        <v>0.56490349793244399</v>
      </c>
      <c r="BT50">
        <f>BS50/3</f>
        <v>0.18830116597748134</v>
      </c>
      <c r="BU50" s="48">
        <f>'8-8-13 Final'!U65-'8-5-13 initial'!U65</f>
        <v>3312.0931360349887</v>
      </c>
      <c r="BV50">
        <f>('8-8-13 Final'!S65-'8-5-13 initial'!S65)*60</f>
        <v>4347.9999999999945</v>
      </c>
      <c r="BW50">
        <f>BX50/60</f>
        <v>1.2695849187499973E-2</v>
      </c>
      <c r="BX50">
        <f>BU50/BV50</f>
        <v>0.76175095124999836</v>
      </c>
      <c r="BY50">
        <f>BX50/3</f>
        <v>0.25391698374999944</v>
      </c>
      <c r="BZ50" s="48">
        <v>5731.5678067461604</v>
      </c>
      <c r="CA50">
        <v>11574</v>
      </c>
      <c r="CB50">
        <f>CC50/60</f>
        <v>8.2535104641814332E-3</v>
      </c>
      <c r="CC50">
        <v>0.49521062785088599</v>
      </c>
      <c r="CD50">
        <v>0.165070209283629</v>
      </c>
    </row>
    <row r="51" spans="1:82">
      <c r="A51" s="18">
        <v>48</v>
      </c>
      <c r="B51">
        <v>1633.64266880629</v>
      </c>
      <c r="C51">
        <v>1809.9011356153001</v>
      </c>
      <c r="D51">
        <v>3605.4730803471598</v>
      </c>
      <c r="F51">
        <v>912.19546771603098</v>
      </c>
      <c r="G51">
        <v>2178.8093349799701</v>
      </c>
      <c r="H51">
        <v>3088.6974806222702</v>
      </c>
      <c r="I51">
        <v>967.64718810907902</v>
      </c>
      <c r="J51">
        <v>2656.3025572964202</v>
      </c>
      <c r="K51">
        <v>3513.2772030142601</v>
      </c>
      <c r="M51">
        <f>C51-B51</f>
        <v>176.25846680901009</v>
      </c>
      <c r="N51">
        <f>D51-B51</f>
        <v>1971.8304115408698</v>
      </c>
      <c r="O51">
        <f>(G51-F51)+N51</f>
        <v>3238.4442788048091</v>
      </c>
      <c r="P51">
        <f>(H51-F51)+N51</f>
        <v>4148.3324244471087</v>
      </c>
      <c r="Q51">
        <f>(J51-I51)+P51</f>
        <v>5836.9877936344501</v>
      </c>
      <c r="R51">
        <f>(K51-J51)+Q51</f>
        <v>6693.9624393522899</v>
      </c>
      <c r="U51">
        <v>2.0687613475236202E-2</v>
      </c>
      <c r="V51">
        <v>4.8265296214345596E-3</v>
      </c>
      <c r="W51">
        <v>7.6486344641542E-3</v>
      </c>
      <c r="X51">
        <v>4.2631370958323301E-3</v>
      </c>
      <c r="Y51">
        <v>6.4744090529381803E-3</v>
      </c>
      <c r="Z51">
        <v>3.6851530370091501E-3</v>
      </c>
      <c r="AC51" s="54">
        <f>1.013*10^5*50*10^(-6)*(M51*10^(-6))/(8.3145*(273.15+25))/3*12.011*10^6</f>
        <v>1.4418377722994762</v>
      </c>
      <c r="AD51" s="54">
        <f>1.013*10^5*50*10^(-6)*(N51*10^(-6))/(8.3145*(273.15+25))/3*12.011*10^6</f>
        <v>16.130059561956397</v>
      </c>
      <c r="AE51" s="54">
        <f>1.013*10^5*50*10^(-6)*(O51*10^(-6))/(8.3145*(273.15+25))/3*12.011*10^6</f>
        <v>26.491273691422013</v>
      </c>
      <c r="AF51" s="54">
        <f>1.013*10^5*50*10^(-6)*(P51*10^(-6))/(8.3145*(273.15+25))/3*12.011*10^6</f>
        <v>33.934383351374713</v>
      </c>
      <c r="AG51" s="54">
        <f>1.013*10^5*50*10^(-6)*(Q51*10^(-6))/(8.3145*(273.15+25))/3*12.011*10^6</f>
        <v>47.748001158052261</v>
      </c>
      <c r="AH51" s="54">
        <f>1.013*10^5*50*10^(-6)*(R51*10^(-6))/(8.3145*(273.15+25))/3*12.011*10^6</f>
        <v>54.758265325604732</v>
      </c>
      <c r="AK51" s="54">
        <f>1.013*10^5*50*10^(-6)*(U51*10^(-6))/(8.3145*(273.15+25))/3*12.011*10^6</f>
        <v>1.6922978548116141E-4</v>
      </c>
      <c r="AL51" s="54">
        <f>1.013*10^5*50*10^(-6)*(V51*10^(-6))/(8.3145*(273.15+25))/3*12.011*10^6</f>
        <v>3.9482203852637284E-5</v>
      </c>
      <c r="AM51" s="54">
        <f>1.013*10^5*50*10^(-6)*(W51*10^(-6))/(8.3145*(273.15+25))/3*12.011*10^6</f>
        <v>6.2567718173101378E-5</v>
      </c>
      <c r="AN51" s="54">
        <f>1.013*10^5*50*10^(-6)*(X51*10^(-6))/(8.3145*(273.15+25))/3*12.011*10^6</f>
        <v>3.4873513905704358E-5</v>
      </c>
      <c r="AO51" s="54">
        <f>1.013*10^5*50*10^(-6)*(Y51*10^(-6))/(8.3145*(273.15+25))/3*12.011*10^6</f>
        <v>5.2962264422504047E-5</v>
      </c>
      <c r="AP51" s="54">
        <f>1.013*10^5*50*10^(-6)*(Z51*10^(-6))/(8.3145*(273.15+25))/3*12.011*10^6</f>
        <v>3.0145461614739909E-5</v>
      </c>
      <c r="AZ51" s="18">
        <v>48</v>
      </c>
      <c r="BA51">
        <f>C51-B51</f>
        <v>176.25846680901009</v>
      </c>
      <c r="BB51">
        <f>('7-24-13 Final'!S66-'7-24-13 Initial'!S66)*60</f>
        <v>142.00000000000045</v>
      </c>
      <c r="BC51">
        <f>BD51/60</f>
        <v>2.0687613475235858E-2</v>
      </c>
      <c r="BD51">
        <f>BA51/BB51</f>
        <v>1.2412568085141515</v>
      </c>
      <c r="BE51">
        <f>BD51/3</f>
        <v>0.41375226950471716</v>
      </c>
      <c r="BF51" s="48">
        <f>D51-B51</f>
        <v>1971.8304115408698</v>
      </c>
      <c r="BG51">
        <f>('7-29-13 Final #2'!S66-'7-24-13 Initial'!S66)*60</f>
        <v>6809.0000000000009</v>
      </c>
      <c r="BH51">
        <f>BI51/60</f>
        <v>4.8265296214345466E-3</v>
      </c>
      <c r="BI51">
        <f>BF51/BG51</f>
        <v>0.28959177728607277</v>
      </c>
      <c r="BJ51">
        <f>BI51/3</f>
        <v>9.6530592428690928E-2</v>
      </c>
      <c r="BK51" s="48">
        <f>G51-F51</f>
        <v>1266.613867263939</v>
      </c>
      <c r="BL51">
        <f>60*('8-1-13 Final #1'!S66-'7-30-13 Initial + cap'!S66)</f>
        <v>2760</v>
      </c>
      <c r="BM51">
        <f>BN51/60</f>
        <v>7.6486344641542208E-3</v>
      </c>
      <c r="BN51">
        <f>BK51/BL51</f>
        <v>0.45891806784925326</v>
      </c>
      <c r="BO51">
        <f>BN51/3</f>
        <v>0.15297268928308441</v>
      </c>
      <c r="BP51" s="48">
        <f>H51-F51</f>
        <v>2176.5020129062391</v>
      </c>
      <c r="BQ51">
        <f>('8-5-13 final 1'!S66-'7-30-13 Initial + cap'!S66)*60</f>
        <v>8509.0000000000036</v>
      </c>
      <c r="BR51">
        <f>BS51/60</f>
        <v>4.263137095832331E-3</v>
      </c>
      <c r="BS51">
        <f>BP51/BQ51</f>
        <v>0.25578822574993987</v>
      </c>
      <c r="BT51">
        <f>BS51/3</f>
        <v>8.5262741916646623E-2</v>
      </c>
      <c r="BU51" s="48">
        <f>'8-8-13 Final'!U66-'8-5-13 initial'!U66</f>
        <v>1688.6553691873376</v>
      </c>
      <c r="BV51">
        <f>('8-8-13 Final'!S66-'8-5-13 initial'!S66)*60</f>
        <v>4347.0000000000027</v>
      </c>
      <c r="BW51">
        <f>BX51/60</f>
        <v>6.4744090529381812E-3</v>
      </c>
      <c r="BX51">
        <f>BU51/BV51</f>
        <v>0.38846454317629087</v>
      </c>
      <c r="BY51">
        <f>BX51/3</f>
        <v>0.12948818105876361</v>
      </c>
      <c r="BZ51" s="48">
        <v>2545.6300149051799</v>
      </c>
      <c r="CA51">
        <v>11513</v>
      </c>
      <c r="CB51">
        <f>CC51/60</f>
        <v>3.6851530370091501E-3</v>
      </c>
      <c r="CC51">
        <v>0.22110918222054901</v>
      </c>
      <c r="CD51">
        <v>7.3703060740182999E-2</v>
      </c>
    </row>
    <row r="52" spans="1:82">
      <c r="A52" s="18">
        <v>49</v>
      </c>
      <c r="B52">
        <v>2031.50782618484</v>
      </c>
      <c r="C52">
        <v>2660.0320700624602</v>
      </c>
      <c r="D52">
        <v>6171.3432294514396</v>
      </c>
      <c r="F52">
        <v>810.34665298534901</v>
      </c>
      <c r="G52">
        <v>1511.2930410617601</v>
      </c>
      <c r="H52">
        <v>2319.4740587393499</v>
      </c>
      <c r="I52">
        <v>1035.84695930155</v>
      </c>
      <c r="J52">
        <v>2125.55436909423</v>
      </c>
      <c r="K52">
        <v>2168.4395095505602</v>
      </c>
      <c r="M52">
        <f>C52-B52</f>
        <v>628.52424387762017</v>
      </c>
      <c r="N52">
        <f>D52-B52</f>
        <v>4139.8354032665993</v>
      </c>
      <c r="O52">
        <f>(G52-F52)+N52</f>
        <v>4840.7817913430099</v>
      </c>
      <c r="P52">
        <f>(H52-F52)+N52</f>
        <v>5648.9628090206006</v>
      </c>
      <c r="Q52">
        <f>(J52-I52)+P52</f>
        <v>6738.6702188132804</v>
      </c>
      <c r="R52">
        <f>(K52-J52)+Q52</f>
        <v>6781.5553592696106</v>
      </c>
      <c r="U52">
        <v>7.3770451159344497E-2</v>
      </c>
      <c r="V52">
        <v>1.01332437540182E-2</v>
      </c>
      <c r="W52">
        <v>4.23276804393971E-3</v>
      </c>
      <c r="X52">
        <v>2.9555961726478799E-3</v>
      </c>
      <c r="Y52">
        <v>4.1789669036381002E-3</v>
      </c>
      <c r="Z52">
        <v>1.6397274586648801E-3</v>
      </c>
      <c r="AC52" s="54">
        <f>1.013*10^5*50*10^(-6)*(M52*10^(-6))/(8.3145*(273.15+25))/3*12.011*10^6</f>
        <v>5.1414834818158948</v>
      </c>
      <c r="AD52" s="54">
        <f>1.013*10^5*50*10^(-6)*(N52*10^(-6))/(8.3145*(273.15+25))/3*12.011*10^6</f>
        <v>33.864875620416385</v>
      </c>
      <c r="AE52" s="54">
        <f>1.013*10^5*50*10^(-6)*(O52*10^(-6))/(8.3145*(273.15+25))/3*12.011*10^6</f>
        <v>39.59879012099227</v>
      </c>
      <c r="AF52" s="54">
        <f>1.013*10^5*50*10^(-6)*(P52*10^(-6))/(8.3145*(273.15+25))/3*12.011*10^6</f>
        <v>46.209910365250586</v>
      </c>
      <c r="AG52" s="54">
        <f>1.013*10^5*50*10^(-6)*(Q52*10^(-6))/(8.3145*(273.15+25))/3*12.011*10^6</f>
        <v>55.123985998826868</v>
      </c>
      <c r="AH52" s="54">
        <f>1.013*10^5*50*10^(-6)*(R52*10^(-6))/(8.3145*(273.15+25))/3*12.011*10^6</f>
        <v>55.474797035026945</v>
      </c>
      <c r="AK52" s="54">
        <f>1.013*10^5*50*10^(-6)*(U52*10^(-6))/(8.3145*(273.15+25))/3*12.011*10^6</f>
        <v>6.0346050256054613E-4</v>
      </c>
      <c r="AL52" s="54">
        <f>1.013*10^5*50*10^(-6)*(V52*10^(-6))/(8.3145*(273.15+25))/3*12.011*10^6</f>
        <v>8.2892435552005573E-5</v>
      </c>
      <c r="AM52" s="54">
        <f>1.013*10^5*50*10^(-6)*(W52*10^(-6))/(8.3145*(273.15+25))/3*12.011*10^6</f>
        <v>3.4625087563864296E-5</v>
      </c>
      <c r="AN52" s="54">
        <f>1.013*10^5*50*10^(-6)*(X52*10^(-6))/(8.3145*(273.15+25))/3*12.011*10^6</f>
        <v>2.4177506354943715E-5</v>
      </c>
      <c r="AO52" s="54">
        <f>1.013*10^5*50*10^(-6)*(Y52*10^(-6))/(8.3145*(273.15+25))/3*12.011*10^6</f>
        <v>3.4184980954042811E-5</v>
      </c>
      <c r="AP52" s="54">
        <f>1.013*10^5*50*10^(-6)*(Z52*10^(-6))/(8.3145*(273.15+25))/3*12.011*10^6</f>
        <v>1.341337541952791E-5</v>
      </c>
      <c r="AZ52" s="18">
        <v>49</v>
      </c>
      <c r="BA52">
        <f>C52-B52</f>
        <v>628.52424387762017</v>
      </c>
      <c r="BB52">
        <f>('7-24-13 Final'!S67-'7-24-13 Initial'!S67)*60</f>
        <v>142.00000000000045</v>
      </c>
      <c r="BC52">
        <f>BD52/60</f>
        <v>7.3770451159344858E-2</v>
      </c>
      <c r="BD52">
        <f>BA52/BB52</f>
        <v>4.4262270695606913</v>
      </c>
      <c r="BE52">
        <f>BD52/3</f>
        <v>1.475409023186897</v>
      </c>
      <c r="BF52" s="48">
        <f>D52-B52</f>
        <v>4139.8354032665993</v>
      </c>
      <c r="BG52">
        <f>('7-29-13 Final #2'!S67-'7-24-13 Initial'!S67)*60</f>
        <v>6809.0000000000009</v>
      </c>
      <c r="BH52">
        <f>BI52/60</f>
        <v>1.0133243754018207E-2</v>
      </c>
      <c r="BI52">
        <f>BF52/BG52</f>
        <v>0.60799462524109249</v>
      </c>
      <c r="BJ52">
        <f>BI52/3</f>
        <v>0.20266487508036415</v>
      </c>
      <c r="BK52" s="48">
        <f>G52-F52</f>
        <v>700.94638807641104</v>
      </c>
      <c r="BL52">
        <f>60*('8-1-13 Final #1'!S67-'7-30-13 Initial + cap'!S67)</f>
        <v>2760</v>
      </c>
      <c r="BM52">
        <f>BN52/60</f>
        <v>4.2327680439396805E-3</v>
      </c>
      <c r="BN52">
        <f>BK52/BL52</f>
        <v>0.25396608263638082</v>
      </c>
      <c r="BO52">
        <f>BN52/3</f>
        <v>8.4655360878793606E-2</v>
      </c>
      <c r="BP52" s="48">
        <f>H52-F52</f>
        <v>1509.1274057540008</v>
      </c>
      <c r="BQ52">
        <f>('8-5-13 final 1'!S67-'7-30-13 Initial + cap'!S67)*60</f>
        <v>8510.0000000000018</v>
      </c>
      <c r="BR52">
        <f>BS52/60</f>
        <v>2.9555961726478661E-3</v>
      </c>
      <c r="BS52">
        <f>BP52/BQ52</f>
        <v>0.17733577035887196</v>
      </c>
      <c r="BT52">
        <f>BS52/3</f>
        <v>5.9111923452957321E-2</v>
      </c>
      <c r="BU52" s="48">
        <f>'8-8-13 Final'!U67-'8-5-13 initial'!U67</f>
        <v>1089.7074097926725</v>
      </c>
      <c r="BV52">
        <f>('8-8-13 Final'!S67-'8-5-13 initial'!S67)*60</f>
        <v>4346.0000000000036</v>
      </c>
      <c r="BW52">
        <f>BX52/60</f>
        <v>4.1789669036381019E-3</v>
      </c>
      <c r="BX52">
        <f>BU52/BV52</f>
        <v>0.25073801421828612</v>
      </c>
      <c r="BY52">
        <f>BX52/3</f>
        <v>8.3579338072762036E-2</v>
      </c>
      <c r="BZ52" s="48">
        <v>1132.5925502489999</v>
      </c>
      <c r="CA52">
        <v>11512</v>
      </c>
      <c r="CB52">
        <f>CC52/60</f>
        <v>1.6397274586648783E-3</v>
      </c>
      <c r="CC52">
        <v>9.8383647519892703E-2</v>
      </c>
      <c r="CD52">
        <v>3.2794549173297598E-2</v>
      </c>
    </row>
    <row r="53" spans="1:82">
      <c r="A53">
        <v>50</v>
      </c>
      <c r="B53">
        <v>1155.5580436919099</v>
      </c>
      <c r="C53">
        <v>1196.1517122476801</v>
      </c>
      <c r="D53">
        <v>2949.7458866281299</v>
      </c>
      <c r="F53">
        <v>818.20606772359395</v>
      </c>
      <c r="G53">
        <v>1950.79746735252</v>
      </c>
      <c r="H53">
        <v>2889.5308639587602</v>
      </c>
      <c r="I53">
        <v>732.21717400236196</v>
      </c>
      <c r="J53">
        <v>2876.95451425993</v>
      </c>
      <c r="K53">
        <v>3667.75967367666</v>
      </c>
      <c r="M53">
        <f>C53-B53</f>
        <v>40.593668555770137</v>
      </c>
      <c r="N53">
        <f>D53-B53</f>
        <v>1794.18784293622</v>
      </c>
      <c r="O53">
        <f>(G53-F53)+N53</f>
        <v>2926.779242565146</v>
      </c>
      <c r="P53">
        <f>(H53-F53)+N53</f>
        <v>3865.5126391713861</v>
      </c>
      <c r="Q53">
        <f>(J53-I53)+P53</f>
        <v>6010.2499794289542</v>
      </c>
      <c r="R53">
        <f>(K53-J53)+Q53</f>
        <v>6801.0551388456843</v>
      </c>
      <c r="U53">
        <v>4.7983059758597898E-3</v>
      </c>
      <c r="V53">
        <v>4.3917066699373803E-3</v>
      </c>
      <c r="W53">
        <v>6.8393200460684003E-3</v>
      </c>
      <c r="X53">
        <v>4.0561720053169797E-3</v>
      </c>
      <c r="Y53">
        <v>8.2268405840336106E-3</v>
      </c>
      <c r="Z53">
        <v>4.2499746636470602E-3</v>
      </c>
      <c r="AC53" s="54">
        <f>1.013*10^5*50*10^(-6)*(M53*10^(-6))/(8.3145*(273.15+25))/3*12.011*10^6</f>
        <v>0.33206623034646165</v>
      </c>
      <c r="AD53" s="54">
        <f>1.013*10^5*50*10^(-6)*(N53*10^(-6))/(8.3145*(273.15+25))/3*12.011*10^6</f>
        <v>14.676899495268509</v>
      </c>
      <c r="AE53" s="54">
        <f>1.013*10^5*50*10^(-6)*(O53*10^(-6))/(8.3145*(273.15+25))/3*12.011*10^6</f>
        <v>23.941776752688511</v>
      </c>
      <c r="AF53" s="54">
        <f>1.013*10^5*50*10^(-6)*(P53*10^(-6))/(8.3145*(273.15+25))/3*12.011*10^6</f>
        <v>31.620847686696397</v>
      </c>
      <c r="AG53" s="54">
        <f>1.013*10^5*50*10^(-6)*(Q53*10^(-6))/(8.3145*(273.15+25))/3*12.011*10^6</f>
        <v>49.165328611946322</v>
      </c>
      <c r="AH53" s="54">
        <f>1.013*10^5*50*10^(-6)*(R53*10^(-6))/(8.3145*(273.15+25))/3*12.011*10^6</f>
        <v>55.634310045966522</v>
      </c>
      <c r="AK53" s="54">
        <f>1.013*10^5*50*10^(-6)*(U53*10^(-6))/(8.3145*(273.15+25))/3*12.011*10^6</f>
        <v>3.9251327464124313E-5</v>
      </c>
      <c r="AL53" s="54">
        <f>1.013*10^5*50*10^(-6)*(V53*10^(-6))/(8.3145*(273.15+25))/3*12.011*10^6</f>
        <v>3.5925244762492018E-5</v>
      </c>
      <c r="AM53" s="54">
        <f>1.013*10^5*50*10^(-6)*(W53*10^(-6))/(8.3145*(273.15+25))/3*12.011*10^6</f>
        <v>5.5947326433695733E-5</v>
      </c>
      <c r="AN53" s="54">
        <f>1.013*10^5*50*10^(-6)*(X53*10^(-6))/(8.3145*(273.15+25))/3*12.011*10^6</f>
        <v>3.3180488370790562E-5</v>
      </c>
      <c r="AO53" s="54">
        <f>1.013*10^5*50*10^(-6)*(Y53*10^(-6))/(8.3145*(273.15+25))/3*12.011*10^6</f>
        <v>6.7297586978327112E-5</v>
      </c>
      <c r="AP53" s="54">
        <f>1.013*10^5*50*10^(-6)*(Z53*10^(-6))/(8.3145*(273.15+25))/3*12.011*10^6</f>
        <v>3.476584196095395E-5</v>
      </c>
      <c r="AZ53">
        <v>50</v>
      </c>
      <c r="BA53">
        <f>C53-B53</f>
        <v>40.593668555770137</v>
      </c>
      <c r="BB53">
        <f>('7-24-13 Final'!S68-'7-24-13 Initial'!S68)*60</f>
        <v>141.00000000000136</v>
      </c>
      <c r="BC53">
        <f>BD53/60</f>
        <v>4.7983059758593084E-3</v>
      </c>
      <c r="BD53">
        <f>BA53/BB53</f>
        <v>0.28789835855155849</v>
      </c>
      <c r="BE53">
        <f>BD53/3</f>
        <v>9.5966119517186158E-2</v>
      </c>
      <c r="BF53" s="48">
        <f>D53-B53</f>
        <v>1794.18784293622</v>
      </c>
      <c r="BG53">
        <f>('7-29-13 Final #2'!S68-'7-24-13 Initial'!S68)*60</f>
        <v>6809.0000000000009</v>
      </c>
      <c r="BH53">
        <f>BI53/60</f>
        <v>4.3917066699373864E-3</v>
      </c>
      <c r="BI53">
        <f>BF53/BG53</f>
        <v>0.26350240019624316</v>
      </c>
      <c r="BJ53">
        <f>BI53/3</f>
        <v>8.7834133398747724E-2</v>
      </c>
      <c r="BK53" s="48">
        <f>G53-F53</f>
        <v>1132.591399628926</v>
      </c>
      <c r="BL53">
        <f>60*('8-1-13 Final #1'!S68-'7-30-13 Initial + cap'!S68)</f>
        <v>2760</v>
      </c>
      <c r="BM53">
        <f>BN53/60</f>
        <v>6.8393200460683933E-3</v>
      </c>
      <c r="BN53">
        <f>BK53/BL53</f>
        <v>0.41035920276410359</v>
      </c>
      <c r="BO53">
        <f>BN53/3</f>
        <v>0.13678640092136787</v>
      </c>
      <c r="BP53" s="48">
        <f>H53-F53</f>
        <v>2071.3247962351661</v>
      </c>
      <c r="BQ53">
        <f>('8-5-13 final 1'!S68-'7-30-13 Initial + cap'!S68)*60</f>
        <v>8510.9999999999945</v>
      </c>
      <c r="BR53">
        <f>BS53/60</f>
        <v>4.0561720053169771E-3</v>
      </c>
      <c r="BS53">
        <f>BP53/BQ53</f>
        <v>0.24337032031901862</v>
      </c>
      <c r="BT53">
        <f>BS53/3</f>
        <v>8.1123440106339539E-2</v>
      </c>
      <c r="BU53" s="48">
        <f>'8-8-13 Final'!U68-'8-5-13 initial'!U68</f>
        <v>2144.737340257564</v>
      </c>
      <c r="BV53">
        <f>('8-8-13 Final'!S68-'8-5-13 initial'!S68)*60</f>
        <v>4345.0000000000045</v>
      </c>
      <c r="BW53">
        <f>BX53/60</f>
        <v>8.2268405840336088E-3</v>
      </c>
      <c r="BX53">
        <f>BU53/BV53</f>
        <v>0.49361043504201652</v>
      </c>
      <c r="BY53">
        <f>BX53/3</f>
        <v>0.16453681168067216</v>
      </c>
      <c r="BZ53" s="48">
        <v>2935.5424996743</v>
      </c>
      <c r="CA53">
        <v>11512</v>
      </c>
      <c r="CB53">
        <f>CC53/60</f>
        <v>4.2499746636470498E-3</v>
      </c>
      <c r="CC53">
        <v>0.25499847981882301</v>
      </c>
      <c r="CD53">
        <v>8.4999493272941096E-2</v>
      </c>
    </row>
    <row r="54" spans="1:82">
      <c r="A54" s="18">
        <v>51</v>
      </c>
      <c r="B54">
        <v>1126.8031025186101</v>
      </c>
      <c r="C54">
        <v>1205.6216296621899</v>
      </c>
      <c r="D54">
        <v>3039.7197886315198</v>
      </c>
      <c r="F54">
        <v>854.80038936521998</v>
      </c>
      <c r="G54">
        <v>1663.88627415151</v>
      </c>
      <c r="H54">
        <v>2392.9493970666099</v>
      </c>
      <c r="I54">
        <v>725.61103686292199</v>
      </c>
      <c r="J54">
        <v>2234.4200406392101</v>
      </c>
      <c r="K54">
        <v>1606.0185008932301</v>
      </c>
      <c r="M54">
        <f>C54-B54</f>
        <v>78.818527143579786</v>
      </c>
      <c r="N54">
        <f>D54-B54</f>
        <v>1912.9166861129097</v>
      </c>
      <c r="O54">
        <f>(G54-F54)+N54</f>
        <v>2722.0025708991998</v>
      </c>
      <c r="P54">
        <f>(H54-F54)+N54</f>
        <v>3451.0656938142997</v>
      </c>
      <c r="Q54">
        <f>(J54-I54)+P54</f>
        <v>4959.8746975905879</v>
      </c>
      <c r="R54">
        <f>(K54-J54)+Q54</f>
        <v>4331.4731578446081</v>
      </c>
      <c r="U54">
        <v>9.3166107734730698E-3</v>
      </c>
      <c r="V54">
        <v>4.68232409583618E-3</v>
      </c>
      <c r="W54">
        <v>4.8857843284196402E-3</v>
      </c>
      <c r="X54">
        <v>3.0117265971596799E-3</v>
      </c>
      <c r="Y54">
        <v>5.7888620464099502E-3</v>
      </c>
      <c r="Z54">
        <v>1.2749550555077301E-3</v>
      </c>
      <c r="AC54" s="54">
        <f>1.013*10^5*50*10^(-6)*(M54*10^(-6))/(8.3145*(273.15+25))/3*12.011*10^6</f>
        <v>0.6447550103551426</v>
      </c>
      <c r="AD54" s="54">
        <f>1.013*10^5*50*10^(-6)*(N54*10^(-6))/(8.3145*(273.15+25))/3*12.011*10^6</f>
        <v>15.648130743632128</v>
      </c>
      <c r="AE54" s="54">
        <f>1.013*10^5*50*10^(-6)*(O54*10^(-6))/(8.3145*(273.15+25))/3*12.011*10^6</f>
        <v>22.266653024228649</v>
      </c>
      <c r="AF54" s="54">
        <f>1.013*10^5*50*10^(-6)*(P54*10^(-6))/(8.3145*(273.15+25))/3*12.011*10^6</f>
        <v>28.230569357102766</v>
      </c>
      <c r="AG54" s="54">
        <f>1.013*10^5*50*10^(-6)*(Q54*10^(-6))/(8.3145*(273.15+25))/3*12.011*10^6</f>
        <v>40.572999495153809</v>
      </c>
      <c r="AH54" s="54">
        <f>1.013*10^5*50*10^(-6)*(R54*10^(-6))/(8.3145*(273.15+25))/3*12.011*10^6</f>
        <v>35.432519763427308</v>
      </c>
      <c r="AK54" s="54">
        <f>1.013*10^5*50*10^(-6)*(U54*10^(-6))/(8.3145*(273.15+25))/3*12.011*10^6</f>
        <v>7.6212176164912784E-5</v>
      </c>
      <c r="AL54" s="54">
        <f>1.013*10^5*50*10^(-6)*(V54*10^(-6))/(8.3145*(273.15+25))/3*12.011*10^6</f>
        <v>3.8302567052509312E-5</v>
      </c>
      <c r="AM54" s="54">
        <f>1.013*10^5*50*10^(-6)*(W54*10^(-6))/(8.3145*(273.15+25))/3*12.011*10^6</f>
        <v>3.9966921984278606E-5</v>
      </c>
      <c r="AN54" s="54">
        <f>1.013*10^5*50*10^(-6)*(X54*10^(-6))/(8.3145*(273.15+25))/3*12.011*10^6</f>
        <v>2.4636667084646483E-5</v>
      </c>
      <c r="AO54" s="54">
        <f>1.013*10^5*50*10^(-6)*(Y54*10^(-6))/(8.3145*(273.15+25))/3*12.011*10^6</f>
        <v>4.7354320664713974E-5</v>
      </c>
      <c r="AP54" s="54">
        <f>1.013*10^5*50*10^(-6)*(Z54*10^(-6))/(8.3145*(273.15+25))/3*12.011*10^6</f>
        <v>1.0429447108530336E-5</v>
      </c>
      <c r="AZ54" s="18">
        <v>51</v>
      </c>
      <c r="BA54">
        <f>C54-B54</f>
        <v>78.818527143579786</v>
      </c>
      <c r="BB54">
        <f>('7-24-13 Final'!S69-'7-24-13 Initial'!S69)*60</f>
        <v>141.00000000000136</v>
      </c>
      <c r="BC54">
        <f>BD54/60</f>
        <v>9.3166107734726986E-3</v>
      </c>
      <c r="BD54">
        <f>BA54/BB54</f>
        <v>0.55899664640836189</v>
      </c>
      <c r="BE54">
        <f>BD54/3</f>
        <v>0.18633221546945397</v>
      </c>
      <c r="BF54" s="48">
        <f>D54-B54</f>
        <v>1912.9166861129097</v>
      </c>
      <c r="BG54">
        <f>('7-29-13 Final #2'!S69-'7-24-13 Initial'!S69)*60</f>
        <v>6809.0000000000009</v>
      </c>
      <c r="BH54">
        <f>BI54/60</f>
        <v>4.6823240958361713E-3</v>
      </c>
      <c r="BI54">
        <f>BF54/BG54</f>
        <v>0.28093944575017027</v>
      </c>
      <c r="BJ54">
        <f>BI54/3</f>
        <v>9.3646481916723423E-2</v>
      </c>
      <c r="BK54" s="48">
        <f>G54-F54</f>
        <v>809.08588478628997</v>
      </c>
      <c r="BL54">
        <f>60*('8-1-13 Final #1'!S69-'7-30-13 Initial + cap'!S69)</f>
        <v>2760</v>
      </c>
      <c r="BM54">
        <f>BN54/60</f>
        <v>4.8857843284196255E-3</v>
      </c>
      <c r="BN54">
        <f>BK54/BL54</f>
        <v>0.29314705970517752</v>
      </c>
      <c r="BO54">
        <f>BN54/3</f>
        <v>9.771568656839251E-2</v>
      </c>
      <c r="BP54" s="48">
        <f>H54-F54</f>
        <v>1538.14900770139</v>
      </c>
      <c r="BQ54">
        <f>('8-5-13 final 1'!S69-'7-30-13 Initial + cap'!S69)*60</f>
        <v>8512</v>
      </c>
      <c r="BR54">
        <f>BS54/60</f>
        <v>3.0117265971596765E-3</v>
      </c>
      <c r="BS54">
        <f>BP54/BQ54</f>
        <v>0.18070359582958059</v>
      </c>
      <c r="BT54">
        <f>BS54/3</f>
        <v>6.0234531943193531E-2</v>
      </c>
      <c r="BU54" s="48">
        <f>'8-8-13 Final'!U69-'8-5-13 initial'!U69</f>
        <v>1508.8090037762877</v>
      </c>
      <c r="BV54">
        <f>('8-8-13 Final'!S69-'8-5-13 initial'!S69)*60</f>
        <v>4343.9999999999982</v>
      </c>
      <c r="BW54">
        <f>BX54/60</f>
        <v>5.7888620464099459E-3</v>
      </c>
      <c r="BX54">
        <f>BU54/BV54</f>
        <v>0.34733172278459673</v>
      </c>
      <c r="BY54">
        <f>BX54/3</f>
        <v>0.11577724092819891</v>
      </c>
      <c r="BZ54" s="48">
        <v>880.40746403030596</v>
      </c>
      <c r="CA54">
        <v>11509</v>
      </c>
      <c r="CB54">
        <f>CC54/60</f>
        <v>1.2749550555077268E-3</v>
      </c>
      <c r="CC54">
        <v>7.6497303330463604E-2</v>
      </c>
      <c r="CD54">
        <v>2.54991011101545E-2</v>
      </c>
    </row>
    <row r="55" spans="1:82">
      <c r="A55" s="18">
        <v>52</v>
      </c>
      <c r="B55">
        <v>1138.95479617929</v>
      </c>
      <c r="C55">
        <v>1280.89234009905</v>
      </c>
      <c r="D55">
        <v>2988.7121772997498</v>
      </c>
      <c r="F55">
        <v>795.52384424680599</v>
      </c>
      <c r="G55">
        <v>1463.59087402348</v>
      </c>
      <c r="H55">
        <v>2236.2307469729499</v>
      </c>
      <c r="I55">
        <v>745.40862707469</v>
      </c>
      <c r="J55">
        <v>1996.55285590988</v>
      </c>
      <c r="K55">
        <v>1978.37755188952</v>
      </c>
      <c r="M55">
        <f>C55-B55</f>
        <v>141.93754391975995</v>
      </c>
      <c r="N55">
        <f>D55-B55</f>
        <v>1849.7573811204597</v>
      </c>
      <c r="O55">
        <f>(G55-F55)+N55</f>
        <v>2517.8244108971339</v>
      </c>
      <c r="P55">
        <f>(H55-F55)+N55</f>
        <v>3290.4642838466034</v>
      </c>
      <c r="Q55">
        <f>(J55-I55)+P55</f>
        <v>4541.6085126817934</v>
      </c>
      <c r="R55">
        <f>(K55-J55)+Q55</f>
        <v>4523.4332086614331</v>
      </c>
      <c r="U55">
        <v>1.66593361408169E-2</v>
      </c>
      <c r="V55">
        <v>4.5270616278033698E-3</v>
      </c>
      <c r="W55">
        <v>4.0342211943035699E-3</v>
      </c>
      <c r="X55">
        <v>2.8206016342185499E-3</v>
      </c>
      <c r="Y55">
        <v>4.8024882114048604E-3</v>
      </c>
      <c r="Z55">
        <v>1.7856692805220001E-3</v>
      </c>
      <c r="AC55" s="54">
        <f>1.013*10^5*50*10^(-6)*(M55*10^(-6))/(8.3145*(273.15+25))/3*12.011*10^6</f>
        <v>1.1610841500889775</v>
      </c>
      <c r="AD55" s="54">
        <f>1.013*10^5*50*10^(-6)*(N55*10^(-6))/(8.3145*(273.15+25))/3*12.011*10^6</f>
        <v>15.131472036343055</v>
      </c>
      <c r="AE55" s="54">
        <f>1.013*10^5*50*10^(-6)*(O55*10^(-6))/(8.3145*(273.15+25))/3*12.011*10^6</f>
        <v>20.596425268936859</v>
      </c>
      <c r="AF55" s="54">
        <f>1.013*10^5*50*10^(-6)*(P55*10^(-6))/(8.3145*(273.15+25))/3*12.011*10^6</f>
        <v>26.916810175100505</v>
      </c>
      <c r="AG55" s="54">
        <f>1.013*10^5*50*10^(-6)*(Q55*10^(-6))/(8.3145*(273.15+25))/3*12.011*10^6</f>
        <v>37.151478843152603</v>
      </c>
      <c r="AH55" s="54">
        <f>1.013*10^5*50*10^(-6)*(R55*10^(-6))/(8.3145*(273.15+25))/3*12.011*10^6</f>
        <v>37.002800369238628</v>
      </c>
      <c r="AK55" s="54">
        <f>1.013*10^5*50*10^(-6)*(U55*10^(-6))/(8.3145*(273.15+25))/3*12.011*10^6</f>
        <v>1.3627748240480962E-4</v>
      </c>
      <c r="AL55" s="54">
        <f>1.013*10^5*50*10^(-6)*(V55*10^(-6))/(8.3145*(273.15+25))/3*12.011*10^6</f>
        <v>3.7032481733585491E-5</v>
      </c>
      <c r="AM55" s="54">
        <f>1.013*10^5*50*10^(-6)*(W55*10^(-6))/(8.3145*(273.15+25))/3*12.011*10^6</f>
        <v>3.3000925317595301E-5</v>
      </c>
      <c r="AN55" s="54">
        <f>1.013*10^5*50*10^(-6)*(X55*10^(-6))/(8.3145*(273.15+25))/3*12.011*10^6</f>
        <v>2.3073217703820646E-5</v>
      </c>
      <c r="AO55" s="54">
        <f>1.013*10^5*50*10^(-6)*(Y55*10^(-6))/(8.3145*(273.15+25))/3*12.011*10^6</f>
        <v>3.9285539183372233E-5</v>
      </c>
      <c r="AP55" s="54">
        <f>1.013*10^5*50*10^(-6)*(Z55*10^(-6))/(8.3145*(273.15+25))/3*12.011*10^6</f>
        <v>1.4607215551700447E-5</v>
      </c>
      <c r="AZ55" s="18">
        <v>52</v>
      </c>
      <c r="BA55">
        <f>C55-B55</f>
        <v>141.93754391975995</v>
      </c>
      <c r="BB55">
        <f>('7-24-13 Final'!S70-'7-24-13 Initial'!S70)*60</f>
        <v>142.00000000000045</v>
      </c>
      <c r="BC55">
        <f>BD55/60</f>
        <v>1.6659336140816841E-2</v>
      </c>
      <c r="BD55">
        <f>BA55/BB55</f>
        <v>0.99956016844901052</v>
      </c>
      <c r="BE55">
        <f>BD55/3</f>
        <v>0.33318672281633682</v>
      </c>
      <c r="BF55" s="48">
        <f>D55-B55</f>
        <v>1849.7573811204597</v>
      </c>
      <c r="BG55">
        <f>('7-29-13 Final #2'!S70-'7-24-13 Initial'!S70)*60</f>
        <v>6810</v>
      </c>
      <c r="BH55">
        <f>BI55/60</f>
        <v>4.5270616278033768E-3</v>
      </c>
      <c r="BI55">
        <f>BF55/BG55</f>
        <v>0.2716236976682026</v>
      </c>
      <c r="BJ55">
        <f>BI55/3</f>
        <v>9.0541232556067539E-2</v>
      </c>
      <c r="BK55" s="48">
        <f>G55-F55</f>
        <v>668.06702977667396</v>
      </c>
      <c r="BL55">
        <f>60*('8-1-13 Final #1'!S70-'7-30-13 Initial + cap'!S70)</f>
        <v>2760</v>
      </c>
      <c r="BM55">
        <f>BN55/60</f>
        <v>4.0342211943035864E-3</v>
      </c>
      <c r="BN55">
        <f>BK55/BL55</f>
        <v>0.24205327165821519</v>
      </c>
      <c r="BO55">
        <f>BN55/3</f>
        <v>8.0684423886071735E-2</v>
      </c>
      <c r="BP55" s="48">
        <f>H55-F55</f>
        <v>1440.7069027261439</v>
      </c>
      <c r="BQ55">
        <f>('8-5-13 final 1'!S70-'7-30-13 Initial + cap'!S70)*60</f>
        <v>8513</v>
      </c>
      <c r="BR55">
        <f>BS55/60</f>
        <v>2.820601634218536E-3</v>
      </c>
      <c r="BS55">
        <f>BP55/BQ55</f>
        <v>0.16923609805311216</v>
      </c>
      <c r="BT55">
        <f>BS55/3</f>
        <v>5.6412032684370721E-2</v>
      </c>
      <c r="BU55" s="48">
        <f>'8-8-13 Final'!U70-'8-5-13 initial'!U70</f>
        <v>1251.144228835195</v>
      </c>
      <c r="BV55">
        <f>('8-8-13 Final'!S70-'8-5-13 initial'!S70)*60</f>
        <v>4342</v>
      </c>
      <c r="BW55">
        <f>BX55/60</f>
        <v>4.802488211404863E-3</v>
      </c>
      <c r="BX55">
        <f>BU55/BV55</f>
        <v>0.28814929268429179</v>
      </c>
      <c r="BY55">
        <f>BX55/3</f>
        <v>9.6049764228097259E-2</v>
      </c>
      <c r="BZ55" s="48">
        <v>1232.96892481483</v>
      </c>
      <c r="CA55">
        <v>11508</v>
      </c>
      <c r="CB55">
        <f>CC55/60</f>
        <v>1.7856692805220001E-3</v>
      </c>
      <c r="CC55">
        <v>0.10714015683132</v>
      </c>
      <c r="CD55">
        <v>3.5713385610440102E-2</v>
      </c>
    </row>
    <row r="56" spans="1:82">
      <c r="A56">
        <v>53</v>
      </c>
      <c r="B56">
        <v>1235.87940765441</v>
      </c>
      <c r="C56">
        <v>1385.2262732807201</v>
      </c>
      <c r="D56">
        <v>5928.85051759208</v>
      </c>
      <c r="F56">
        <v>987.90008758757597</v>
      </c>
      <c r="G56">
        <v>3841.4146548000799</v>
      </c>
      <c r="H56">
        <v>5927.1336138994602</v>
      </c>
      <c r="I56">
        <v>952.46429943410601</v>
      </c>
      <c r="J56">
        <v>4602.0793770247801</v>
      </c>
      <c r="K56">
        <v>5029.3853125638698</v>
      </c>
      <c r="M56">
        <f>C56-B56</f>
        <v>149.34686562631009</v>
      </c>
      <c r="N56">
        <f>D56-B56</f>
        <v>4692.97110993767</v>
      </c>
      <c r="O56">
        <f>(G56-F56)+N56</f>
        <v>7546.4856771501745</v>
      </c>
      <c r="P56">
        <f>(H56-F56)+N56</f>
        <v>9632.204636249553</v>
      </c>
      <c r="Q56">
        <f>(J56-I56)+P56</f>
        <v>13281.819713840227</v>
      </c>
      <c r="R56">
        <f>(K56-J56)+Q56</f>
        <v>13709.125649379315</v>
      </c>
      <c r="U56">
        <v>1.75289748387688E-2</v>
      </c>
      <c r="V56">
        <v>1.14854897453198E-2</v>
      </c>
      <c r="W56">
        <v>1.7231368159495799E-2</v>
      </c>
      <c r="X56">
        <v>9.6688464613418797E-3</v>
      </c>
      <c r="Y56">
        <v>1.40121902694873E-2</v>
      </c>
      <c r="Z56">
        <v>5.90447371847087E-3</v>
      </c>
      <c r="AC56" s="54">
        <f>1.013*10^5*50*10^(-6)*(M56*10^(-6))/(8.3145*(273.15+25))/3*12.011*10^6</f>
        <v>1.2216942308245504</v>
      </c>
      <c r="AD56" s="54">
        <f>1.013*10^5*50*10^(-6)*(N56*10^(-6))/(8.3145*(273.15+25))/3*12.011*10^6</f>
        <v>38.389662256340671</v>
      </c>
      <c r="AE56" s="54">
        <f>1.013*10^5*50*10^(-6)*(O56*10^(-6))/(8.3145*(273.15+25))/3*12.011*10^6</f>
        <v>61.732115877430843</v>
      </c>
      <c r="AF56" s="54">
        <f>1.013*10^5*50*10^(-6)*(P56*10^(-6))/(8.3145*(273.15+25))/3*12.011*10^6</f>
        <v>78.793811874646366</v>
      </c>
      <c r="AG56" s="54">
        <f>1.013*10^5*50*10^(-6)*(Q56*10^(-6))/(8.3145*(273.15+25))/3*12.011*10^6</f>
        <v>108.64856420791087</v>
      </c>
      <c r="AH56" s="54">
        <f>1.013*10^5*50*10^(-6)*(R56*10^(-6))/(8.3145*(273.15+25))/3*12.011*10^6</f>
        <v>112.14403225175595</v>
      </c>
      <c r="AK56" s="54">
        <f>1.013*10^5*50*10^(-6)*(U56*10^(-6))/(8.3145*(273.15+25))/3*12.011*10^6</f>
        <v>1.433913416460741E-4</v>
      </c>
      <c r="AL56" s="54">
        <f>1.013*10^5*50*10^(-6)*(V56*10^(-6))/(8.3145*(273.15+25))/3*12.011*10^6</f>
        <v>9.3954141596526376E-5</v>
      </c>
      <c r="AM56" s="54">
        <f>1.013*10^5*50*10^(-6)*(W56*10^(-6))/(8.3145*(273.15+25))/3*12.011*10^6</f>
        <v>1.4095684553798416E-4</v>
      </c>
      <c r="AN56" s="54">
        <f>1.013*10^5*50*10^(-6)*(X56*10^(-6))/(8.3145*(273.15+25))/3*12.011*10^6</f>
        <v>7.9093551049850657E-5</v>
      </c>
      <c r="AO56" s="54">
        <f>1.013*10^5*50*10^(-6)*(Y56*10^(-6))/(8.3145*(273.15+25))/3*12.011*10^6</f>
        <v>1.1462317566330492E-4</v>
      </c>
      <c r="AP56" s="54">
        <f>1.013*10^5*50*10^(-6)*(Z56*10^(-6))/(8.3145*(273.15+25))/3*12.011*10^6</f>
        <v>4.8300052683799097E-5</v>
      </c>
      <c r="AZ56">
        <v>53</v>
      </c>
      <c r="BA56">
        <f>C56-B56</f>
        <v>149.34686562631009</v>
      </c>
      <c r="BB56">
        <f>('7-24-13 Final'!S71-'7-24-13 Initial'!S71)*60</f>
        <v>142.00000000000045</v>
      </c>
      <c r="BC56">
        <f>BD56/60</f>
        <v>1.7528974838768734E-2</v>
      </c>
      <c r="BD56">
        <f>BA56/BB56</f>
        <v>1.051738490326124</v>
      </c>
      <c r="BE56">
        <f>BD56/3</f>
        <v>0.35057949677537464</v>
      </c>
      <c r="BF56" s="48">
        <f>D56-B56</f>
        <v>4692.97110993767</v>
      </c>
      <c r="BG56">
        <f>('7-29-13 Final #2'!S71-'7-24-13 Initial'!S71)*60</f>
        <v>6810</v>
      </c>
      <c r="BH56">
        <f>BI56/60</f>
        <v>1.1485489745319799E-2</v>
      </c>
      <c r="BI56">
        <f>BF56/BG56</f>
        <v>0.68912938471918794</v>
      </c>
      <c r="BJ56">
        <f>BI56/3</f>
        <v>0.22970979490639598</v>
      </c>
      <c r="BK56" s="48">
        <f>G56-F56</f>
        <v>2853.5145672125041</v>
      </c>
      <c r="BL56">
        <f>60*('8-1-13 Final #1'!S71-'7-30-13 Initial + cap'!S71)</f>
        <v>2760</v>
      </c>
      <c r="BM56">
        <f>BN56/60</f>
        <v>1.7231368159495795E-2</v>
      </c>
      <c r="BN56">
        <f>BK56/BL56</f>
        <v>1.0338820895697478</v>
      </c>
      <c r="BO56">
        <f>BN56/3</f>
        <v>0.34462736318991594</v>
      </c>
      <c r="BP56" s="48">
        <f>H56-F56</f>
        <v>4939.2335263118839</v>
      </c>
      <c r="BQ56">
        <f>('8-5-13 final 1'!S71-'7-30-13 Initial + cap'!S71)*60</f>
        <v>8513.9999999999982</v>
      </c>
      <c r="BR56">
        <f>BS56/60</f>
        <v>9.6688464613418779E-3</v>
      </c>
      <c r="BS56">
        <f>BP56/BQ56</f>
        <v>0.58013078768051263</v>
      </c>
      <c r="BT56">
        <f>BS56/3</f>
        <v>0.19337692922683755</v>
      </c>
      <c r="BU56" s="48">
        <f>'8-8-13 Final'!U71-'8-5-13 initial'!U71</f>
        <v>3649.615077590674</v>
      </c>
      <c r="BV56">
        <f>('8-8-13 Final'!S71-'8-5-13 initial'!S71)*60</f>
        <v>4341.0000000000018</v>
      </c>
      <c r="BW56">
        <f>BX56/60</f>
        <v>1.4012190269487339E-2</v>
      </c>
      <c r="BX56">
        <f>BU56/BV56</f>
        <v>0.84073141616924041</v>
      </c>
      <c r="BY56">
        <f>BX56/3</f>
        <v>0.2802438053897468</v>
      </c>
      <c r="BZ56" s="48">
        <v>4076.92101312976</v>
      </c>
      <c r="CA56">
        <v>11508</v>
      </c>
      <c r="CB56">
        <f>CC56/60</f>
        <v>5.9044737184708674E-3</v>
      </c>
      <c r="CC56">
        <v>0.35426842310825202</v>
      </c>
      <c r="CD56">
        <v>0.118089474369417</v>
      </c>
    </row>
    <row r="57" spans="1:82">
      <c r="A57" s="18">
        <v>54</v>
      </c>
      <c r="B57">
        <v>1305.04573897255</v>
      </c>
      <c r="C57">
        <v>1497.3701806018601</v>
      </c>
      <c r="D57">
        <v>6498.4568147412301</v>
      </c>
      <c r="F57">
        <v>741.63295445369204</v>
      </c>
      <c r="G57">
        <v>2526.4787338667402</v>
      </c>
      <c r="H57">
        <v>5066.53060112402</v>
      </c>
      <c r="I57">
        <v>919.85975204882095</v>
      </c>
      <c r="J57">
        <v>5192.0681414046803</v>
      </c>
      <c r="K57">
        <v>6794.7856147542398</v>
      </c>
      <c r="M57">
        <f>C57-B57</f>
        <v>192.32444162931006</v>
      </c>
      <c r="N57">
        <f>D57-B57</f>
        <v>5193.4110757686803</v>
      </c>
      <c r="O57">
        <f>(G57-F57)+N57</f>
        <v>6978.2568551817285</v>
      </c>
      <c r="P57">
        <f>(H57-F57)+N57</f>
        <v>9518.3087224390074</v>
      </c>
      <c r="Q57">
        <f>(J57-I57)+P57</f>
        <v>13790.517111794867</v>
      </c>
      <c r="R57">
        <f>(K57-J57)+Q57</f>
        <v>15393.234585144426</v>
      </c>
      <c r="U57">
        <v>2.2733385535379201E-2</v>
      </c>
      <c r="V57">
        <v>1.27102571604716E-2</v>
      </c>
      <c r="W57">
        <v>1.07780542235088E-2</v>
      </c>
      <c r="X57">
        <v>8.4652527826782707E-3</v>
      </c>
      <c r="Y57">
        <v>1.64101113519085E-2</v>
      </c>
      <c r="Z57">
        <v>8.5114248126816998E-3</v>
      </c>
      <c r="AC57" s="54">
        <f>1.013*10^5*50*10^(-6)*(M57*10^(-6))/(8.3145*(273.15+25))/3*12.011*10^6</f>
        <v>1.5732614126164053</v>
      </c>
      <c r="AD57" s="54">
        <f>1.013*10^5*50*10^(-6)*(N57*10^(-6))/(8.3145*(273.15+25))/3*12.011*10^6</f>
        <v>42.483384722934396</v>
      </c>
      <c r="AE57" s="54">
        <f>1.013*10^5*50*10^(-6)*(O57*10^(-6))/(8.3145*(273.15+25))/3*12.011*10^6</f>
        <v>57.083863832261812</v>
      </c>
      <c r="AF57" s="54">
        <f>1.013*10^5*50*10^(-6)*(P57*10^(-6))/(8.3145*(273.15+25))/3*12.011*10^6</f>
        <v>77.862115181627047</v>
      </c>
      <c r="AG57" s="54">
        <f>1.013*10^5*50*10^(-6)*(Q57*10^(-6))/(8.3145*(273.15+25))/3*12.011*10^6</f>
        <v>112.80983450782909</v>
      </c>
      <c r="AH57" s="54">
        <f>1.013*10^5*50*10^(-6)*(R57*10^(-6))/(8.3145*(273.15+25))/3*12.011*10^6</f>
        <v>125.92045911063909</v>
      </c>
      <c r="AK57" s="54">
        <f>1.013*10^5*50*10^(-6)*(U57*10^(-6))/(8.3145*(273.15+25))/3*12.011*10^6</f>
        <v>1.8596470598302472E-4</v>
      </c>
      <c r="AL57" s="54">
        <f>1.013*10^5*50*10^(-6)*(V57*10^(-6))/(8.3145*(273.15+25))/3*12.011*10^6</f>
        <v>1.0397304141687355E-4</v>
      </c>
      <c r="AM57" s="54">
        <f>1.013*10^5*50*10^(-6)*(W57*10^(-6))/(8.3145*(273.15+25))/3*12.011*10^6</f>
        <v>8.8167144379996915E-5</v>
      </c>
      <c r="AN57" s="54">
        <f>1.013*10^5*50*10^(-6)*(X57*10^(-6))/(8.3145*(273.15+25))/3*12.011*10^6</f>
        <v>6.9247857621242235E-5</v>
      </c>
      <c r="AO57" s="54">
        <f>1.013*10^5*50*10^(-6)*(Y57*10^(-6))/(8.3145*(273.15+25))/3*12.011*10^6</f>
        <v>1.3423876210417934E-4</v>
      </c>
      <c r="AP57" s="54">
        <f>1.013*10^5*50*10^(-6)*(Z57*10^(-6))/(8.3145*(273.15+25))/3*12.011*10^6</f>
        <v>6.9625556225388284E-5</v>
      </c>
      <c r="AZ57" s="18">
        <v>54</v>
      </c>
      <c r="BA57">
        <f>C57-B57</f>
        <v>192.32444162931006</v>
      </c>
      <c r="BB57">
        <f>('7-24-13 Final'!S72-'7-24-13 Initial'!S72)*60</f>
        <v>141.00000000000136</v>
      </c>
      <c r="BC57">
        <f>BD57/60</f>
        <v>2.2733385535379222E-2</v>
      </c>
      <c r="BD57">
        <f>BA57/BB57</f>
        <v>1.3640031321227533</v>
      </c>
      <c r="BE57">
        <f>BD57/3</f>
        <v>0.45466771070758444</v>
      </c>
      <c r="BF57" s="48">
        <f>D57-B57</f>
        <v>5193.4110757686803</v>
      </c>
      <c r="BG57">
        <f>('7-29-13 Final #2'!S72-'7-24-13 Initial'!S72)*60</f>
        <v>6810</v>
      </c>
      <c r="BH57">
        <f>BI57/60</f>
        <v>1.2710257160471562E-2</v>
      </c>
      <c r="BI57">
        <f>BF57/BG57</f>
        <v>0.76261542962829376</v>
      </c>
      <c r="BJ57">
        <f>BI57/3</f>
        <v>0.25420514320943127</v>
      </c>
      <c r="BK57" s="48">
        <f>G57-F57</f>
        <v>1784.8457794130481</v>
      </c>
      <c r="BL57">
        <f>60*('8-1-13 Final #1'!S72-'7-30-13 Initial + cap'!S72)</f>
        <v>2760</v>
      </c>
      <c r="BM57">
        <f>BN57/60</f>
        <v>1.0778054223508745E-2</v>
      </c>
      <c r="BN57">
        <f>BK57/BL57</f>
        <v>0.64668325341052468</v>
      </c>
      <c r="BO57">
        <f>BN57/3</f>
        <v>0.21556108447017489</v>
      </c>
      <c r="BP57" s="48">
        <f>H57-F57</f>
        <v>4324.897646670328</v>
      </c>
      <c r="BQ57">
        <f>('8-5-13 final 1'!S72-'7-30-13 Initial + cap'!S72)*60</f>
        <v>8514.9999999999982</v>
      </c>
      <c r="BR57">
        <f>BS57/60</f>
        <v>8.4652527826782707E-3</v>
      </c>
      <c r="BS57">
        <f>BP57/BQ57</f>
        <v>0.50791516696069627</v>
      </c>
      <c r="BT57">
        <f>BS57/3</f>
        <v>0.16930505565356543</v>
      </c>
      <c r="BU57" s="48">
        <f>'8-8-13 Final'!U72-'8-5-13 initial'!U72</f>
        <v>4272.2083893558574</v>
      </c>
      <c r="BV57">
        <f>('8-8-13 Final'!S72-'8-5-13 initial'!S72)*60</f>
        <v>4338.9999999999964</v>
      </c>
      <c r="BW57">
        <f>BX57/60</f>
        <v>1.6410111351908507E-2</v>
      </c>
      <c r="BX57">
        <f>BU57/BV57</f>
        <v>0.98460668111451044</v>
      </c>
      <c r="BY57">
        <f>BX57/3</f>
        <v>0.32820222703817015</v>
      </c>
      <c r="BZ57" s="48">
        <v>5874.9258627054196</v>
      </c>
      <c r="CA57">
        <v>11504</v>
      </c>
      <c r="CB57">
        <f>CC57/60</f>
        <v>8.5114248126816998E-3</v>
      </c>
      <c r="CC57">
        <v>0.51068548876090203</v>
      </c>
      <c r="CD57">
        <v>0.17022849625363401</v>
      </c>
    </row>
    <row r="58" spans="1:82">
      <c r="A58" s="18">
        <v>55</v>
      </c>
      <c r="B58">
        <v>1164.72049309522</v>
      </c>
      <c r="C58">
        <v>1349.23763695202</v>
      </c>
      <c r="D58">
        <v>5246.1980984670099</v>
      </c>
      <c r="F58">
        <v>776.23674705519397</v>
      </c>
      <c r="G58">
        <v>2633.6303601990498</v>
      </c>
      <c r="H58">
        <v>4710.5236863808896</v>
      </c>
      <c r="I58">
        <v>937.98504690623997</v>
      </c>
      <c r="J58">
        <v>5307.1320432806897</v>
      </c>
      <c r="K58">
        <v>4717.4459640569103</v>
      </c>
      <c r="M58">
        <f>C58-B58</f>
        <v>184.51714385679998</v>
      </c>
      <c r="N58">
        <f>D58-B58</f>
        <v>4081.4776053717897</v>
      </c>
      <c r="O58">
        <f>(G58-F58)+N58</f>
        <v>5938.8712185156455</v>
      </c>
      <c r="P58">
        <f>(H58-F58)+N58</f>
        <v>8015.7645446974857</v>
      </c>
      <c r="Q58">
        <f>(J58-I58)+P58</f>
        <v>12384.911541071935</v>
      </c>
      <c r="R58">
        <f>(K58-J58)+Q58</f>
        <v>11795.225461848157</v>
      </c>
      <c r="U58">
        <v>2.2124357776595101E-2</v>
      </c>
      <c r="V58">
        <v>9.9918664447997008E-3</v>
      </c>
      <c r="W58">
        <v>1.12161450069073E-2</v>
      </c>
      <c r="X58">
        <v>7.6988903356535804E-3</v>
      </c>
      <c r="Y58">
        <v>1.6786333934126499E-2</v>
      </c>
      <c r="Z58">
        <v>5.4755750422326704E-3</v>
      </c>
      <c r="AC58" s="54">
        <f>1.013*10^5*50*10^(-6)*(M58*10^(-6))/(8.3145*(273.15+25))/3*12.011*10^6</f>
        <v>1.5093957894109551</v>
      </c>
      <c r="AD58" s="54">
        <f>1.013*10^5*50*10^(-6)*(N58*10^(-6))/(8.3145*(273.15+25))/3*12.011*10^6</f>
        <v>33.387494426557872</v>
      </c>
      <c r="AE58" s="54">
        <f>1.013*10^5*50*10^(-6)*(O58*10^(-6))/(8.3145*(273.15+25))/3*12.011*10^6</f>
        <v>48.581432726046778</v>
      </c>
      <c r="AF58" s="54">
        <f>1.013*10^5*50*10^(-6)*(P58*10^(-6))/(8.3145*(273.15+25))/3*12.011*10^6</f>
        <v>65.570932867169049</v>
      </c>
      <c r="AG58" s="54">
        <f>1.013*10^5*50*10^(-6)*(Q58*10^(-6))/(8.3145*(273.15+25))/3*12.011*10^6</f>
        <v>101.31163393049782</v>
      </c>
      <c r="AH58" s="54">
        <f>1.013*10^5*50*10^(-6)*(R58*10^(-6))/(8.3145*(273.15+25))/3*12.011*10^6</f>
        <v>96.487856223720655</v>
      </c>
      <c r="AK58" s="54">
        <f>1.013*10^5*50*10^(-6)*(U58*10^(-6))/(8.3145*(273.15+25))/3*12.011*10^6</f>
        <v>1.8098270856246778E-4</v>
      </c>
      <c r="AL58" s="54">
        <f>1.013*10^5*50*10^(-6)*(V58*10^(-6))/(8.3145*(273.15+25))/3*12.011*10^6</f>
        <v>8.1735934260080827E-5</v>
      </c>
      <c r="AM58" s="54">
        <f>1.013*10^5*50*10^(-6)*(W58*10^(-6))/(8.3145*(273.15+25))/3*12.011*10^6</f>
        <v>9.1750835141840863E-5</v>
      </c>
      <c r="AN58" s="54">
        <f>1.013*10^5*50*10^(-6)*(X58*10^(-6))/(8.3145*(273.15+25))/3*12.011*10^6</f>
        <v>6.2978823608882557E-5</v>
      </c>
      <c r="AO58" s="54">
        <f>1.013*10^5*50*10^(-6)*(Y58*10^(-6))/(8.3145*(273.15+25))/3*12.011*10^6</f>
        <v>1.3731635570665715E-4</v>
      </c>
      <c r="AP58" s="54">
        <f>1.013*10^5*50*10^(-6)*(Z58*10^(-6))/(8.3145*(273.15+25))/3*12.011*10^6</f>
        <v>4.4791555627827499E-5</v>
      </c>
      <c r="AZ58" s="18">
        <v>55</v>
      </c>
      <c r="BA58">
        <f>C58-B58</f>
        <v>184.51714385679998</v>
      </c>
      <c r="BB58">
        <f>('7-24-13 Final'!S73-'7-24-13 Initial'!S73)*60</f>
        <v>138.99999999999636</v>
      </c>
      <c r="BC58">
        <f>BD58/60</f>
        <v>2.2124357776595303E-2</v>
      </c>
      <c r="BD58">
        <f>BA58/BB58</f>
        <v>1.3274614665957181</v>
      </c>
      <c r="BE58">
        <f>BD58/3</f>
        <v>0.44248715553190604</v>
      </c>
      <c r="BF58" s="48">
        <f>D58-B58</f>
        <v>4081.4776053717897</v>
      </c>
      <c r="BG58">
        <f>('7-29-13 Final #2'!S73-'7-24-13 Initial'!S73)*60</f>
        <v>6808.0000000000018</v>
      </c>
      <c r="BH58">
        <f>BI58/60</f>
        <v>9.9918664447997164E-3</v>
      </c>
      <c r="BI58">
        <f>BF58/BG58</f>
        <v>0.599511986687983</v>
      </c>
      <c r="BJ58">
        <f>BI58/3</f>
        <v>0.19983732889599434</v>
      </c>
      <c r="BK58" s="48">
        <f>G58-F58</f>
        <v>1857.3936131438559</v>
      </c>
      <c r="BL58">
        <f>60*('8-1-13 Final #1'!S73-'7-30-13 Initial + cap'!S73)</f>
        <v>2760</v>
      </c>
      <c r="BM58">
        <f>BN58/60</f>
        <v>1.1216145006907343E-2</v>
      </c>
      <c r="BN58">
        <f>BK58/BL58</f>
        <v>0.67296870041444057</v>
      </c>
      <c r="BO58">
        <f>BN58/3</f>
        <v>0.22432290013814685</v>
      </c>
      <c r="BP58" s="48">
        <f>H58-F58</f>
        <v>3934.2869393256956</v>
      </c>
      <c r="BQ58">
        <f>('8-5-13 final 1'!S73-'7-30-13 Initial + cap'!S73)*60</f>
        <v>8517.0000000000036</v>
      </c>
      <c r="BR58">
        <f>BS58/60</f>
        <v>7.698890335653583E-3</v>
      </c>
      <c r="BS58">
        <f>BP58/BQ58</f>
        <v>0.46193342013921496</v>
      </c>
      <c r="BT58">
        <f>BS58/3</f>
        <v>0.15397780671307165</v>
      </c>
      <c r="BU58" s="48">
        <f>'8-8-13 Final'!U73-'8-5-13 initial'!U73</f>
        <v>4369.1469963744466</v>
      </c>
      <c r="BV58">
        <f>('8-8-13 Final'!S73-'8-5-13 initial'!S73)*60</f>
        <v>4337.9999999999973</v>
      </c>
      <c r="BW58">
        <f>BX58/60</f>
        <v>1.6786333934126516E-2</v>
      </c>
      <c r="BX58">
        <f>BU58/BV58</f>
        <v>1.0071800360475909</v>
      </c>
      <c r="BY58">
        <f>BX58/3</f>
        <v>0.33572667868253031</v>
      </c>
      <c r="BZ58" s="48">
        <v>3779.46091715067</v>
      </c>
      <c r="CA58">
        <v>11504</v>
      </c>
      <c r="CB58">
        <f>CC58/60</f>
        <v>5.4755750422326669E-3</v>
      </c>
      <c r="CC58">
        <v>0.32853450253395999</v>
      </c>
      <c r="CD58">
        <v>0.109511500844653</v>
      </c>
    </row>
    <row r="59" spans="1:82">
      <c r="A59">
        <v>56</v>
      </c>
      <c r="B59">
        <v>868.60291942022002</v>
      </c>
      <c r="C59">
        <v>917.92235332974701</v>
      </c>
      <c r="D59">
        <v>5241.3475543579798</v>
      </c>
      <c r="F59">
        <v>6912.8336872008003</v>
      </c>
      <c r="G59">
        <v>8304.4080825286292</v>
      </c>
      <c r="H59">
        <v>8591.3179193327996</v>
      </c>
      <c r="I59">
        <v>8373.1456602134895</v>
      </c>
      <c r="J59">
        <v>12838.227141027999</v>
      </c>
      <c r="K59">
        <v>10646.3468600756</v>
      </c>
      <c r="M59">
        <f>C59-B59</f>
        <v>49.319433909526992</v>
      </c>
      <c r="N59">
        <f>D59-B59</f>
        <v>4372.7446349377597</v>
      </c>
      <c r="O59">
        <f>(G59-F59)+N59</f>
        <v>5764.3190302655885</v>
      </c>
      <c r="P59">
        <f>(H59-F59)+N59</f>
        <v>6051.228867069759</v>
      </c>
      <c r="Q59">
        <f>(J59-I59)+P59</f>
        <v>10516.310347884268</v>
      </c>
      <c r="R59">
        <f>(K59-J59)+Q59</f>
        <v>8324.4300669318691</v>
      </c>
      <c r="U59">
        <v>5.8297203202750296E-3</v>
      </c>
      <c r="V59">
        <v>1.07017734579974E-2</v>
      </c>
      <c r="W59">
        <v>8.4032270249264698E-3</v>
      </c>
      <c r="X59">
        <v>3.2834198594131501E-3</v>
      </c>
      <c r="Y59">
        <v>1.7158871265907899E-2</v>
      </c>
      <c r="Z59">
        <v>3.2933489798652E-3</v>
      </c>
      <c r="AC59" s="54">
        <f>1.013*10^5*50*10^(-6)*(M59*10^(-6))/(8.3145*(273.15+25))/3*12.011*10^6</f>
        <v>0.40344514511315699</v>
      </c>
      <c r="AD59" s="54">
        <f>1.013*10^5*50*10^(-6)*(N59*10^(-6))/(8.3145*(273.15+25))/3*12.011*10^6</f>
        <v>35.770130634943506</v>
      </c>
      <c r="AE59" s="54">
        <f>1.013*10^5*50*10^(-6)*(O59*10^(-6))/(8.3145*(273.15+25))/3*12.011*10^6</f>
        <v>47.153552733596982</v>
      </c>
      <c r="AF59" s="54">
        <f>1.013*10^5*50*10^(-6)*(P59*10^(-6))/(8.3145*(273.15+25))/3*12.011*10^6</f>
        <v>49.500546029509309</v>
      </c>
      <c r="AG59" s="54">
        <f>1.013*10^5*50*10^(-6)*(Q59*10^(-6))/(8.3145*(273.15+25))/3*12.011*10^6</f>
        <v>86.026014859379686</v>
      </c>
      <c r="AH59" s="54">
        <f>1.013*10^5*50*10^(-6)*(R59*10^(-6))/(8.3145*(273.15+25))/3*12.011*10^6</f>
        <v>68.095893040834468</v>
      </c>
      <c r="AK59" s="54">
        <f>1.013*10^5*50*10^(-6)*(U59*10^(-6))/(8.3145*(273.15+25))/3*12.011*10^6</f>
        <v>4.7688551431815007E-5</v>
      </c>
      <c r="AL59" s="54">
        <f>1.013*10^5*50*10^(-6)*(V59*10^(-6))/(8.3145*(273.15+25))/3*12.011*10^6</f>
        <v>8.7543148886302808E-5</v>
      </c>
      <c r="AM59" s="54">
        <f>1.013*10^5*50*10^(-6)*(W59*10^(-6))/(8.3145*(273.15+25))/3*12.011*10^6</f>
        <v>6.8740471610226087E-5</v>
      </c>
      <c r="AN59" s="54">
        <f>1.013*10^5*50*10^(-6)*(X59*10^(-6))/(8.3145*(273.15+25))/3*12.011*10^6</f>
        <v>2.6859185044142869E-5</v>
      </c>
      <c r="AO59" s="54">
        <f>1.013*10^5*50*10^(-6)*(Y59*10^(-6))/(8.3145*(273.15+25))/3*12.011*10^6</f>
        <v>1.4036380305076752E-4</v>
      </c>
      <c r="AP59" s="54">
        <f>1.013*10^5*50*10^(-6)*(Z59*10^(-6))/(8.3145*(273.15+25))/3*12.011*10^6</f>
        <v>2.6940407700691837E-5</v>
      </c>
      <c r="AZ59">
        <v>56</v>
      </c>
      <c r="BA59">
        <f>C59-B59</f>
        <v>49.319433909526992</v>
      </c>
      <c r="BB59">
        <f>('7-24-13 Final'!S74-'7-24-13 Initial'!S74)*60</f>
        <v>141.00000000000136</v>
      </c>
      <c r="BC59">
        <f>BD59/60</f>
        <v>5.8297203202750019E-3</v>
      </c>
      <c r="BD59">
        <f>BA59/BB59</f>
        <v>0.34978321921650013</v>
      </c>
      <c r="BE59">
        <f>BD59/3</f>
        <v>0.11659440640550005</v>
      </c>
      <c r="BF59" s="48">
        <f>D59-B59</f>
        <v>4372.7446349377597</v>
      </c>
      <c r="BG59">
        <f>('7-29-13 Final #2'!S74-'7-24-13 Initial'!S74)*60</f>
        <v>6810</v>
      </c>
      <c r="BH59">
        <f>BI59/60</f>
        <v>1.0701773457997454E-2</v>
      </c>
      <c r="BI59">
        <f>BF59/BG59</f>
        <v>0.64210640747984726</v>
      </c>
      <c r="BJ59">
        <f>BI59/3</f>
        <v>0.21403546915994909</v>
      </c>
      <c r="BK59" s="48">
        <f>G59-F59</f>
        <v>1391.5743953278288</v>
      </c>
      <c r="BL59">
        <f>60*('8-1-13 Final #1'!S74-'7-30-13 Initial + cap'!S74)</f>
        <v>2760</v>
      </c>
      <c r="BM59">
        <f>BN59/60</f>
        <v>8.4032270249265011E-3</v>
      </c>
      <c r="BN59">
        <f>BK59/BL59</f>
        <v>0.50419362149559011</v>
      </c>
      <c r="BO59">
        <f>BN59/3</f>
        <v>0.16806454049853004</v>
      </c>
      <c r="BP59" s="48">
        <f>H59-F59</f>
        <v>1678.4842321319993</v>
      </c>
      <c r="BQ59">
        <f>('8-5-13 final 1'!S74-'7-30-13 Initial + cap'!S74)*60</f>
        <v>8520</v>
      </c>
      <c r="BR59">
        <f>BS59/60</f>
        <v>3.2834198594131445E-3</v>
      </c>
      <c r="BS59">
        <f>BP59/BQ59</f>
        <v>0.19700519156478866</v>
      </c>
      <c r="BT59">
        <f>BS59/3</f>
        <v>6.5668397188262881E-2</v>
      </c>
      <c r="BU59" s="48">
        <f>'8-8-13 Final'!U74-'8-5-13 initial'!U74</f>
        <v>4465.0814808145515</v>
      </c>
      <c r="BV59">
        <f>('8-8-13 Final'!S74-'8-5-13 initial'!S74)*60</f>
        <v>4336.9999999999982</v>
      </c>
      <c r="BW59">
        <f>BX59/60</f>
        <v>1.7158871265907896E-2</v>
      </c>
      <c r="BX59">
        <f>BU59/BV59</f>
        <v>1.0295322759544738</v>
      </c>
      <c r="BY59">
        <f>BX59/3</f>
        <v>0.34317742531815792</v>
      </c>
      <c r="BZ59" s="48">
        <v>2273.2011998621501</v>
      </c>
      <c r="CA59">
        <v>11504</v>
      </c>
      <c r="CB59">
        <f>CC59/60</f>
        <v>3.2933489798652E-3</v>
      </c>
      <c r="CC59">
        <v>0.19760093879191201</v>
      </c>
      <c r="CD59">
        <v>6.5866979597303907E-2</v>
      </c>
    </row>
    <row r="60" spans="1:82">
      <c r="A60" s="18">
        <v>57</v>
      </c>
      <c r="B60">
        <v>2203.87409987923</v>
      </c>
      <c r="C60">
        <v>2794.61705164148</v>
      </c>
      <c r="D60">
        <v>42839.223453054103</v>
      </c>
      <c r="F60">
        <v>1071.8412363374</v>
      </c>
      <c r="G60">
        <v>8851.9640489629001</v>
      </c>
      <c r="H60">
        <v>18729.718267622</v>
      </c>
      <c r="I60">
        <v>1618.0162530228399</v>
      </c>
      <c r="J60">
        <v>11497.2111857239</v>
      </c>
      <c r="K60">
        <v>14371.7008379945</v>
      </c>
      <c r="M60">
        <f>C60-B60</f>
        <v>590.74295176224996</v>
      </c>
      <c r="N60">
        <f>D60-B60</f>
        <v>40635.349353174875</v>
      </c>
      <c r="O60">
        <f>(G60-F60)+N60</f>
        <v>48415.472165800376</v>
      </c>
      <c r="P60">
        <f>(H60-F60)+N60</f>
        <v>58293.226384459471</v>
      </c>
      <c r="Q60">
        <f>(J60-I60)+P60</f>
        <v>68172.421317160537</v>
      </c>
      <c r="R60">
        <f>(K60-J60)+Q60</f>
        <v>71046.910969431134</v>
      </c>
      <c r="U60">
        <v>7.0326541876456594E-2</v>
      </c>
      <c r="V60">
        <v>9.9464799904966206E-2</v>
      </c>
      <c r="W60">
        <v>4.6981417950636997E-2</v>
      </c>
      <c r="X60">
        <v>3.4509609582716899E-2</v>
      </c>
      <c r="Y60">
        <v>3.8061315043539198E-2</v>
      </c>
      <c r="Z60">
        <v>1.8494858587795E-2</v>
      </c>
      <c r="AC60" s="54">
        <f>1.013*10^5*50*10^(-6)*(M60*10^(-6))/(8.3145*(273.15+25))/3*12.011*10^6</f>
        <v>4.8324231850572232</v>
      </c>
      <c r="AD60" s="54">
        <f>1.013*10^5*50*10^(-6)*(N60*10^(-6))/(8.3145*(273.15+25))/3*12.011*10^6</f>
        <v>332.40718955917748</v>
      </c>
      <c r="AE60" s="54">
        <f>1.013*10^5*50*10^(-6)*(O60*10^(-6))/(8.3145*(273.15+25))/3*12.011*10^6</f>
        <v>396.0505148839548</v>
      </c>
      <c r="AF60" s="54">
        <f>1.013*10^5*50*10^(-6)*(P60*10^(-6))/(8.3145*(273.15+25))/3*12.011*10^6</f>
        <v>476.85298296275431</v>
      </c>
      <c r="AG60" s="54">
        <f>1.013*10^5*50*10^(-6)*(Q60*10^(-6))/(8.3145*(273.15+25))/3*12.011*10^6</f>
        <v>557.66723643809337</v>
      </c>
      <c r="AH60" s="54">
        <f>1.013*10^5*50*10^(-6)*(R60*10^(-6))/(8.3145*(273.15+25))/3*12.011*10^6</f>
        <v>581.18127143318213</v>
      </c>
      <c r="AK60" s="54">
        <f>1.013*10^5*50*10^(-6)*(U60*10^(-6))/(8.3145*(273.15+25))/3*12.011*10^6</f>
        <v>5.7528847441156003E-4</v>
      </c>
      <c r="AL60" s="54">
        <f>1.013*10^5*50*10^(-6)*(V60*10^(-6))/(8.3145*(273.15+25))/3*12.011*10^6</f>
        <v>8.1364661859102585E-4</v>
      </c>
      <c r="AM60" s="54">
        <f>1.013*10^5*50*10^(-6)*(W60*10^(-6))/(8.3145*(273.15+25))/3*12.011*10^6</f>
        <v>3.8431959737184274E-4</v>
      </c>
      <c r="AN60" s="54">
        <f>1.013*10^5*50*10^(-6)*(X60*10^(-6))/(8.3145*(273.15+25))/3*12.011*10^6</f>
        <v>2.822971259450764E-4</v>
      </c>
      <c r="AO60" s="54">
        <f>1.013*10^5*50*10^(-6)*(Y60*10^(-6))/(8.3145*(273.15+25))/3*12.011*10^6</f>
        <v>3.1135095344174299E-4</v>
      </c>
      <c r="AP60" s="54">
        <f>1.013*10^5*50*10^(-6)*(Z60*10^(-6))/(8.3145*(273.15+25))/3*12.011*10^6</f>
        <v>1.5129250916561936E-4</v>
      </c>
      <c r="AZ60" s="18">
        <v>57</v>
      </c>
      <c r="BA60">
        <f>C60-B60</f>
        <v>590.74295176224996</v>
      </c>
      <c r="BB60">
        <f>('7-24-13 Final'!S75-'7-24-13 Initial'!S75)*60</f>
        <v>140.00000000000227</v>
      </c>
      <c r="BC60">
        <f>BD60/60</f>
        <v>7.0326541876457177E-2</v>
      </c>
      <c r="BD60">
        <f>BA60/BB60</f>
        <v>4.2195925125874307</v>
      </c>
      <c r="BE60">
        <f>BD60/3</f>
        <v>1.4065308375291437</v>
      </c>
      <c r="BF60" s="48">
        <f>D60-B60</f>
        <v>40635.349353174875</v>
      </c>
      <c r="BG60">
        <f>('7-29-13 Final #2'!S75-'7-24-13 Initial'!S75)*60</f>
        <v>6809.0000000000009</v>
      </c>
      <c r="BH60">
        <f>BI60/60</f>
        <v>9.9464799904966136E-2</v>
      </c>
      <c r="BI60">
        <f>BF60/BG60</f>
        <v>5.9678879942979686</v>
      </c>
      <c r="BJ60">
        <f>BI60/3</f>
        <v>1.9892959980993228</v>
      </c>
      <c r="BK60" s="48">
        <f>G60-F60</f>
        <v>7780.1228126255</v>
      </c>
      <c r="BL60">
        <f>60*('8-1-13 Final #1'!S75-'7-30-13 Initial + cap'!S75)</f>
        <v>2760</v>
      </c>
      <c r="BM60">
        <f>BN60/60</f>
        <v>4.6981417950637074E-2</v>
      </c>
      <c r="BN60">
        <f>BK60/BL60</f>
        <v>2.8188850770382246</v>
      </c>
      <c r="BO60">
        <f>BN60/3</f>
        <v>0.93962835901274155</v>
      </c>
      <c r="BP60" s="48">
        <f>H60-F60</f>
        <v>17657.877031284599</v>
      </c>
      <c r="BQ60">
        <f>('8-5-13 final 1'!S75-'7-30-13 Initial + cap'!S75)*60</f>
        <v>8528.0000000000073</v>
      </c>
      <c r="BR60">
        <f>BS60/60</f>
        <v>3.4509609582716899E-2</v>
      </c>
      <c r="BS60">
        <f>BP60/BQ60</f>
        <v>2.0705765749630141</v>
      </c>
      <c r="BT60">
        <f>BS60/3</f>
        <v>0.69019219165433798</v>
      </c>
      <c r="BU60" s="48">
        <f>'8-8-13 Final'!U75-'8-5-13 initial'!U75</f>
        <v>9879.1949327010261</v>
      </c>
      <c r="BV60">
        <f>('8-8-13 Final'!S75-'8-5-13 initial'!S75)*60</f>
        <v>4325.9999999999945</v>
      </c>
      <c r="BW60">
        <f>BX60/60</f>
        <v>3.8061315043539219E-2</v>
      </c>
      <c r="BX60">
        <f>BU60/BV60</f>
        <v>2.283678902612353</v>
      </c>
      <c r="BY60">
        <f>BX60/3</f>
        <v>0.76122630087078436</v>
      </c>
      <c r="BZ60" s="48">
        <v>12753.684584971699</v>
      </c>
      <c r="CA60">
        <v>11493</v>
      </c>
      <c r="CB60">
        <f>CC60/60</f>
        <v>1.8494858587795E-2</v>
      </c>
      <c r="CC60">
        <v>1.1096915152677</v>
      </c>
      <c r="CD60">
        <v>0.36989717175589998</v>
      </c>
    </row>
    <row r="61" spans="1:82">
      <c r="A61" s="18">
        <v>58</v>
      </c>
      <c r="B61">
        <v>2313.8680369981898</v>
      </c>
      <c r="C61">
        <v>2936.86301941996</v>
      </c>
      <c r="D61">
        <v>41680.522482255299</v>
      </c>
      <c r="F61">
        <v>1988.0259168945199</v>
      </c>
      <c r="G61">
        <v>11535.741226645099</v>
      </c>
      <c r="H61">
        <v>19984.348693822601</v>
      </c>
      <c r="I61">
        <v>1952.6246094887699</v>
      </c>
      <c r="J61">
        <v>11938.020880189901</v>
      </c>
      <c r="K61">
        <v>24013.347781029599</v>
      </c>
      <c r="M61">
        <f>C61-B61</f>
        <v>622.99498242177015</v>
      </c>
      <c r="N61">
        <f>D61-B61</f>
        <v>39366.654445257111</v>
      </c>
      <c r="O61">
        <f>(G61-F61)+N61</f>
        <v>48914.36975500769</v>
      </c>
      <c r="P61">
        <f>(H61-F61)+N61</f>
        <v>57362.977222185189</v>
      </c>
      <c r="Q61">
        <f>(J61-I61)+P61</f>
        <v>67348.373492886312</v>
      </c>
      <c r="R61">
        <f>(K61-J61)+Q61</f>
        <v>79423.700393726016</v>
      </c>
      <c r="U61">
        <v>7.4699638180067196E-2</v>
      </c>
      <c r="V61">
        <v>9.6331068480539198E-2</v>
      </c>
      <c r="W61">
        <v>5.7655285686899399E-2</v>
      </c>
      <c r="X61">
        <v>3.5166926128362301E-2</v>
      </c>
      <c r="Y61">
        <v>3.8479369058578398E-2</v>
      </c>
      <c r="Z61">
        <v>3.1994319485353299E-2</v>
      </c>
      <c r="AC61" s="54">
        <f>1.013*10^5*50*10^(-6)*(M61*10^(-6))/(8.3145*(273.15+25))/3*12.011*10^6</f>
        <v>5.0962527580708459</v>
      </c>
      <c r="AD61" s="54">
        <f>1.013*10^5*50*10^(-6)*(N61*10^(-6))/(8.3145*(273.15+25))/3*12.011*10^6</f>
        <v>322.0289520034068</v>
      </c>
      <c r="AE61" s="54">
        <f>1.013*10^5*50*10^(-6)*(O61*10^(-6))/(8.3145*(273.15+25))/3*12.011*10^6</f>
        <v>400.13162032899254</v>
      </c>
      <c r="AF61" s="54">
        <f>1.013*10^5*50*10^(-6)*(P61*10^(-6))/(8.3145*(273.15+25))/3*12.011*10^6</f>
        <v>469.24331516012688</v>
      </c>
      <c r="AG61" s="54">
        <f>1.013*10^5*50*10^(-6)*(Q61*10^(-6))/(8.3145*(273.15+25))/3*12.011*10^6</f>
        <v>550.92632179875727</v>
      </c>
      <c r="AH61" s="54">
        <f>1.013*10^5*50*10^(-6)*(R61*10^(-6))/(8.3145*(273.15+25))/3*12.011*10^6</f>
        <v>649.7054769434601</v>
      </c>
      <c r="AK61" s="54">
        <f>1.013*10^5*50*10^(-6)*(U61*10^(-6))/(8.3145*(273.15+25))/3*12.011*10^6</f>
        <v>6.1106148178306546E-4</v>
      </c>
      <c r="AL61" s="54">
        <f>1.013*10^5*50*10^(-6)*(V61*10^(-6))/(8.3145*(273.15+25))/3*12.011*10^6</f>
        <v>7.8801192189939583E-4</v>
      </c>
      <c r="AM61" s="54">
        <f>1.013*10^5*50*10^(-6)*(W61*10^(-6))/(8.3145*(273.15+25))/3*12.011*10^6</f>
        <v>4.7163447056512942E-4</v>
      </c>
      <c r="AN61" s="54">
        <f>1.013*10^5*50*10^(-6)*(X61*10^(-6))/(8.3145*(273.15+25))/3*12.011*10^6</f>
        <v>2.8767413756345105E-4</v>
      </c>
      <c r="AO61" s="54">
        <f>1.013*10^5*50*10^(-6)*(Y61*10^(-6))/(8.3145*(273.15+25))/3*12.011*10^6</f>
        <v>3.147707384918314E-4</v>
      </c>
      <c r="AP61" s="54">
        <f>1.013*10^5*50*10^(-6)*(Z61*10^(-6))/(8.3145*(273.15+25))/3*12.011*10^6</f>
        <v>2.6172143198650237E-4</v>
      </c>
      <c r="AZ61" s="18">
        <v>58</v>
      </c>
      <c r="BA61">
        <f>C61-B61</f>
        <v>622.99498242177015</v>
      </c>
      <c r="BB61">
        <f>('7-24-13 Final'!S76-'7-24-13 Initial'!S76)*60</f>
        <v>139.00000000000318</v>
      </c>
      <c r="BC61">
        <f>BD61/60</f>
        <v>7.4699638180066655E-2</v>
      </c>
      <c r="BD61">
        <f>BA61/BB61</f>
        <v>4.4819782908039993</v>
      </c>
      <c r="BE61">
        <f>BD61/3</f>
        <v>1.493992763601333</v>
      </c>
      <c r="BF61" s="48">
        <f>D61-B61</f>
        <v>39366.654445257111</v>
      </c>
      <c r="BG61">
        <f>('7-29-13 Final #2'!S76-'7-24-13 Initial'!S76)*60</f>
        <v>6810.9999999999991</v>
      </c>
      <c r="BH61">
        <f>BI61/60</f>
        <v>9.6331068480539128E-2</v>
      </c>
      <c r="BI61">
        <f>BF61/BG61</f>
        <v>5.7798641088323475</v>
      </c>
      <c r="BJ61">
        <f>BI61/3</f>
        <v>1.9266213696107826</v>
      </c>
      <c r="BK61" s="48">
        <f>G61-F61</f>
        <v>9547.7153097505798</v>
      </c>
      <c r="BL61">
        <f>60*('8-1-13 Final #1'!S76-'7-30-13 Initial + cap'!S76)</f>
        <v>2760</v>
      </c>
      <c r="BM61">
        <f>BN61/60</f>
        <v>5.7655285686899635E-2</v>
      </c>
      <c r="BN61">
        <f>BK61/BL61</f>
        <v>3.4593171412139783</v>
      </c>
      <c r="BO61">
        <f>BN61/3</f>
        <v>1.1531057137379928</v>
      </c>
      <c r="BP61" s="48">
        <f>H61-F61</f>
        <v>17996.322776928082</v>
      </c>
      <c r="BQ61">
        <f>('8-5-13 final 1'!S76-'7-30-13 Initial + cap'!S76)*60</f>
        <v>8528.9999999999982</v>
      </c>
      <c r="BR61">
        <f>BS61/60</f>
        <v>3.5166926128362232E-2</v>
      </c>
      <c r="BS61">
        <f>BP61/BQ61</f>
        <v>2.1100155677017338</v>
      </c>
      <c r="BT61">
        <f>BS61/3</f>
        <v>0.70333852256724461</v>
      </c>
      <c r="BU61" s="48">
        <f>'8-8-13 Final'!U76-'8-5-13 initial'!U76</f>
        <v>9985.3962707010996</v>
      </c>
      <c r="BV61">
        <f>('8-8-13 Final'!S76-'8-5-13 initial'!S76)*60</f>
        <v>4325.0000000000018</v>
      </c>
      <c r="BW61">
        <f>BX61/60</f>
        <v>3.8479369058578405E-2</v>
      </c>
      <c r="BX61">
        <f>BU61/BV61</f>
        <v>2.3087621435147043</v>
      </c>
      <c r="BY61">
        <f>BX61/3</f>
        <v>0.76958738117156811</v>
      </c>
      <c r="BZ61" s="48">
        <v>22060.723171540802</v>
      </c>
      <c r="CA61">
        <v>11492</v>
      </c>
      <c r="CB61">
        <f>CC61/60</f>
        <v>3.1994319485353334E-2</v>
      </c>
      <c r="CC61">
        <v>1.9196591691211999</v>
      </c>
      <c r="CD61">
        <v>0.63988638970706702</v>
      </c>
    </row>
    <row r="62" spans="1:82">
      <c r="A62">
        <v>59</v>
      </c>
      <c r="B62">
        <v>2143.5958247588501</v>
      </c>
      <c r="C62">
        <v>2781.3273874484698</v>
      </c>
      <c r="D62">
        <v>41558.976894688298</v>
      </c>
      <c r="F62">
        <v>2880.53212742293</v>
      </c>
      <c r="G62">
        <v>14094.274177421699</v>
      </c>
      <c r="H62">
        <v>21269.3623891563</v>
      </c>
      <c r="I62">
        <v>1724.5070321727801</v>
      </c>
      <c r="J62">
        <v>11195.711835776499</v>
      </c>
      <c r="K62">
        <v>18446.883607969499</v>
      </c>
      <c r="M62">
        <f>C62-B62</f>
        <v>637.73156268961975</v>
      </c>
      <c r="N62">
        <f>D62-B62</f>
        <v>39415.381069929448</v>
      </c>
      <c r="O62">
        <f>(G62-F62)+N62</f>
        <v>50629.123119928219</v>
      </c>
      <c r="P62">
        <f>(H62-F62)+N62</f>
        <v>57804.211331662817</v>
      </c>
      <c r="Q62">
        <f>(J62-I62)+P62</f>
        <v>67275.41613526654</v>
      </c>
      <c r="R62">
        <f>(K62-J62)+Q62</f>
        <v>74526.587907459543</v>
      </c>
      <c r="U62">
        <v>7.5381981405390805E-2</v>
      </c>
      <c r="V62">
        <v>9.6478633842290704E-2</v>
      </c>
      <c r="W62">
        <v>6.7715833635258099E-2</v>
      </c>
      <c r="X62">
        <v>3.5929719151491499E-2</v>
      </c>
      <c r="Y62">
        <v>3.6506339822709302E-2</v>
      </c>
      <c r="Z62">
        <v>2.4252199466000501E-2</v>
      </c>
      <c r="AC62" s="54">
        <f>1.013*10^5*50*10^(-6)*(M62*10^(-6))/(8.3145*(273.15+25))/3*12.011*10^6</f>
        <v>5.2168016227545051</v>
      </c>
      <c r="AD62" s="54">
        <f>1.013*10^5*50*10^(-6)*(N62*10^(-6))/(8.3145*(273.15+25))/3*12.011*10^6</f>
        <v>322.42754782260994</v>
      </c>
      <c r="AE62" s="54">
        <f>1.013*10^5*50*10^(-6)*(O62*10^(-6))/(8.3145*(273.15+25))/3*12.011*10^6</f>
        <v>414.15872618370918</v>
      </c>
      <c r="AF62" s="54">
        <f>1.013*10^5*50*10^(-6)*(P62*10^(-6))/(8.3145*(273.15+25))/3*12.011*10^6</f>
        <v>472.85271910530668</v>
      </c>
      <c r="AG62" s="54">
        <f>1.013*10^5*50*10^(-6)*(Q62*10^(-6))/(8.3145*(273.15+25))/3*12.011*10^6</f>
        <v>550.32951260208301</v>
      </c>
      <c r="AH62" s="54">
        <f>1.013*10^5*50*10^(-6)*(R62*10^(-6))/(8.3145*(273.15+25))/3*12.011*10^6</f>
        <v>609.64588783135594</v>
      </c>
      <c r="AK62" s="54">
        <f>1.013*10^5*50*10^(-6)*(U62*10^(-6))/(8.3145*(273.15+25))/3*12.011*10^6</f>
        <v>6.166432178196685E-4</v>
      </c>
      <c r="AL62" s="54">
        <f>1.013*10^5*50*10^(-6)*(V62*10^(-6))/(8.3145*(273.15+25))/3*12.011*10^6</f>
        <v>7.8921904298871574E-4</v>
      </c>
      <c r="AM62" s="54">
        <f>1.013*10^5*50*10^(-6)*(W62*10^(-6))/(8.3145*(273.15+25))/3*12.011*10^6</f>
        <v>5.5393223648006625E-4</v>
      </c>
      <c r="AN62" s="54">
        <f>1.013*10^5*50*10^(-6)*(X62*10^(-6))/(8.3145*(273.15+25))/3*12.011*10^6</f>
        <v>2.9391397280714417E-4</v>
      </c>
      <c r="AO62" s="54">
        <f>1.013*10^5*50*10^(-6)*(Y62*10^(-6))/(8.3145*(273.15+25))/3*12.011*10^6</f>
        <v>2.9863087225091042E-4</v>
      </c>
      <c r="AP62" s="54">
        <f>1.013*10^5*50*10^(-6)*(Z62*10^(-6))/(8.3145*(273.15+25))/3*12.011*10^6</f>
        <v>1.9838897889263383E-4</v>
      </c>
      <c r="AZ62">
        <v>59</v>
      </c>
      <c r="BA62">
        <f>C62-B62</f>
        <v>637.73156268961975</v>
      </c>
      <c r="BB62">
        <f>('7-24-13 Final'!S77-'7-24-13 Initial'!S77)*60</f>
        <v>141.00000000000136</v>
      </c>
      <c r="BC62">
        <f>BD62/60</f>
        <v>7.5381981405391679E-2</v>
      </c>
      <c r="BD62">
        <f>BA62/BB62</f>
        <v>4.5229188843235004</v>
      </c>
      <c r="BE62">
        <f>BD62/3</f>
        <v>1.5076396281078335</v>
      </c>
      <c r="BF62" s="48">
        <f>D62-B62</f>
        <v>39415.381069929448</v>
      </c>
      <c r="BG62">
        <f>('7-29-13 Final #2'!S77-'7-24-13 Initial'!S77)*60</f>
        <v>6809.0000000000009</v>
      </c>
      <c r="BH62">
        <f>BI62/60</f>
        <v>9.6478633842290704E-2</v>
      </c>
      <c r="BI62">
        <f>BF62/BG62</f>
        <v>5.7887180305374422</v>
      </c>
      <c r="BJ62">
        <f>BI62/3</f>
        <v>1.9295726768458141</v>
      </c>
      <c r="BK62" s="48">
        <f>G62-F62</f>
        <v>11213.742049998769</v>
      </c>
      <c r="BL62">
        <f>60*('8-1-13 Final #1'!S77-'7-30-13 Initial + cap'!S77)</f>
        <v>2760</v>
      </c>
      <c r="BM62">
        <f>BN62/60</f>
        <v>6.771583363525828E-2</v>
      </c>
      <c r="BN62">
        <f>BK62/BL62</f>
        <v>4.0629500181154965</v>
      </c>
      <c r="BO62">
        <f>BN62/3</f>
        <v>1.3543166727051654</v>
      </c>
      <c r="BP62" s="48">
        <f>H62-F62</f>
        <v>18388.830261733368</v>
      </c>
      <c r="BQ62">
        <f>('8-5-13 final 1'!S77-'7-30-13 Initial + cap'!S77)*60</f>
        <v>8529.9999999999982</v>
      </c>
      <c r="BR62">
        <f>BS62/60</f>
        <v>3.5929719151491547E-2</v>
      </c>
      <c r="BS62">
        <f>BP62/BQ62</f>
        <v>2.1557831490894928</v>
      </c>
      <c r="BT62">
        <f>BS62/3</f>
        <v>0.71859438302983092</v>
      </c>
      <c r="BU62" s="48">
        <f>'8-8-13 Final'!U77-'8-5-13 initial'!U77</f>
        <v>9471.2048036037013</v>
      </c>
      <c r="BV62">
        <f>('8-8-13 Final'!S77-'8-5-13 initial'!S77)*60</f>
        <v>4324.0000000000036</v>
      </c>
      <c r="BW62">
        <f>BX62/60</f>
        <v>3.6506339822709268E-2</v>
      </c>
      <c r="BX62">
        <f>BU62/BV62</f>
        <v>2.1903803893625562</v>
      </c>
      <c r="BY62">
        <f>BX62/3</f>
        <v>0.73012679645418543</v>
      </c>
      <c r="BZ62" s="48">
        <v>16722.376575796701</v>
      </c>
      <c r="CA62">
        <v>11492</v>
      </c>
      <c r="CB62">
        <f>CC62/60</f>
        <v>2.4252199466000501E-2</v>
      </c>
      <c r="CC62">
        <v>1.4551319679600301</v>
      </c>
      <c r="CD62">
        <v>0.48504398932001003</v>
      </c>
    </row>
    <row r="63" spans="1:82">
      <c r="A63" s="18">
        <v>60</v>
      </c>
      <c r="B63">
        <v>2309.276651874</v>
      </c>
      <c r="C63">
        <v>2889.3913946132202</v>
      </c>
      <c r="D63">
        <v>39367.0143260021</v>
      </c>
      <c r="F63">
        <v>927.38793670651</v>
      </c>
      <c r="G63">
        <v>8844.6540149621796</v>
      </c>
      <c r="H63">
        <v>20530.180574407299</v>
      </c>
      <c r="I63">
        <v>1873.72678133763</v>
      </c>
      <c r="J63">
        <v>13887.779105175799</v>
      </c>
      <c r="K63">
        <v>10559.236727620601</v>
      </c>
      <c r="M63">
        <f>C63-B63</f>
        <v>580.11474273922022</v>
      </c>
      <c r="N63">
        <f>D63-B63</f>
        <v>37057.737674128097</v>
      </c>
      <c r="O63">
        <f>(G63-F63)+N63</f>
        <v>44975.003752383767</v>
      </c>
      <c r="P63">
        <f>(H63-F63)+N63</f>
        <v>56660.530311828887</v>
      </c>
      <c r="Q63">
        <f>(J63-I63)+P63</f>
        <v>68674.582635667059</v>
      </c>
      <c r="R63">
        <f>(K63-J63)+Q63</f>
        <v>65346.040258111861</v>
      </c>
      <c r="U63">
        <v>6.9558122630599503E-2</v>
      </c>
      <c r="V63">
        <v>9.0694414278335994E-2</v>
      </c>
      <c r="W63">
        <v>4.7809577767244399E-2</v>
      </c>
      <c r="X63">
        <v>3.8292687602947302E-2</v>
      </c>
      <c r="Y63">
        <v>4.6329061868880701E-2</v>
      </c>
      <c r="Z63">
        <v>1.2598650922951799E-2</v>
      </c>
      <c r="AC63" s="54">
        <f>1.013*10^5*50*10^(-6)*(M63*10^(-6))/(8.3145*(273.15+25))/3*12.011*10^6</f>
        <v>4.7454818114101727</v>
      </c>
      <c r="AD63" s="54">
        <f>1.013*10^5*50*10^(-6)*(N63*10^(-6))/(8.3145*(273.15+25))/3*12.011*10^6</f>
        <v>303.1414428018382</v>
      </c>
      <c r="AE63" s="54">
        <f>1.013*10^5*50*10^(-6)*(O63*10^(-6))/(8.3145*(273.15+25))/3*12.011*10^6</f>
        <v>367.90663389670834</v>
      </c>
      <c r="AF63" s="54">
        <f>1.013*10^5*50*10^(-6)*(P63*10^(-6))/(8.3145*(273.15+25))/3*12.011*10^6</f>
        <v>463.49712601686008</v>
      </c>
      <c r="AG63" s="54">
        <f>1.013*10^5*50*10^(-6)*(Q63*10^(-6))/(8.3145*(273.15+25))/3*12.011*10^6</f>
        <v>561.77503999453165</v>
      </c>
      <c r="AH63" s="54">
        <f>1.013*10^5*50*10^(-6)*(R63*10^(-6))/(8.3145*(273.15+25))/3*12.011*10^6</f>
        <v>534.5467416123671</v>
      </c>
      <c r="AK63" s="54">
        <f>1.013*10^5*50*10^(-6)*(U63*10^(-6))/(8.3145*(273.15+25))/3*12.011*10^6</f>
        <v>5.6900261527697909E-4</v>
      </c>
      <c r="AL63" s="54">
        <f>1.013*10^5*50*10^(-6)*(V63*10^(-6))/(8.3145*(273.15+25))/3*12.011*10^6</f>
        <v>7.419026989765984E-4</v>
      </c>
      <c r="AM63" s="54">
        <f>1.013*10^5*50*10^(-6)*(W63*10^(-6))/(8.3145*(273.15+25))/3*12.011*10^6</f>
        <v>3.9109414912361209E-4</v>
      </c>
      <c r="AN63" s="54">
        <f>1.013*10^5*50*10^(-6)*(X63*10^(-6))/(8.3145*(273.15+25))/3*12.011*10^6</f>
        <v>3.1324363809779237E-4</v>
      </c>
      <c r="AO63" s="54">
        <f>1.013*10^5*50*10^(-6)*(Y63*10^(-6))/(8.3145*(273.15+25))/3*12.011*10^6</f>
        <v>3.7898316357269526E-4</v>
      </c>
      <c r="AP63" s="54">
        <f>1.013*10^5*50*10^(-6)*(Z63*10^(-6))/(8.3145*(273.15+25))/3*12.011*10^6</f>
        <v>1.0306007484117626E-4</v>
      </c>
      <c r="AZ63" s="18">
        <v>60</v>
      </c>
      <c r="BA63">
        <f>C63-B63</f>
        <v>580.11474273922022</v>
      </c>
      <c r="BB63">
        <f>('7-24-13 Final'!S78-'7-24-13 Initial'!S78)*60</f>
        <v>139.00000000000318</v>
      </c>
      <c r="BC63">
        <f>BD63/60</f>
        <v>6.955812263060035E-2</v>
      </c>
      <c r="BD63">
        <f>BA63/BB63</f>
        <v>4.173487357836021</v>
      </c>
      <c r="BE63">
        <f>BD63/3</f>
        <v>1.391162452612007</v>
      </c>
      <c r="BF63" s="48">
        <f>D63-B63</f>
        <v>37057.737674128097</v>
      </c>
      <c r="BG63">
        <f>('7-29-13 Final #2'!S78-'7-24-13 Initial'!S78)*60</f>
        <v>6810</v>
      </c>
      <c r="BH63">
        <f>BI63/60</f>
        <v>9.0694414278336008E-2</v>
      </c>
      <c r="BI63">
        <f>BF63/BG63</f>
        <v>5.4416648567001609</v>
      </c>
      <c r="BJ63">
        <f>BI63/3</f>
        <v>1.8138882855667202</v>
      </c>
      <c r="BK63" s="48">
        <f>G63-F63</f>
        <v>7917.2660782556695</v>
      </c>
      <c r="BL63">
        <f>60*('8-1-13 Final #1'!S78-'7-30-13 Initial + cap'!S78)</f>
        <v>2760</v>
      </c>
      <c r="BM63">
        <f>BN63/60</f>
        <v>4.7809577767244378E-2</v>
      </c>
      <c r="BN63">
        <f>BK63/BL63</f>
        <v>2.8685746660346627</v>
      </c>
      <c r="BO63">
        <f>BN63/3</f>
        <v>0.95619155534488753</v>
      </c>
      <c r="BP63" s="48">
        <f>H63-F63</f>
        <v>19602.79263770079</v>
      </c>
      <c r="BQ63">
        <f>('8-5-13 final 1'!S78-'7-30-13 Initial + cap'!S78)*60</f>
        <v>8531.9999999999964</v>
      </c>
      <c r="BR63">
        <f>BS63/60</f>
        <v>3.829268760294733E-2</v>
      </c>
      <c r="BS63">
        <f>BP63/BQ63</f>
        <v>2.2975612561768397</v>
      </c>
      <c r="BT63">
        <f>BS63/3</f>
        <v>0.76585375205894657</v>
      </c>
      <c r="BU63" s="48">
        <f>'8-8-13 Final'!U78-'8-5-13 initial'!U78</f>
        <v>12014.052323838136</v>
      </c>
      <c r="BV63">
        <f>('8-8-13 Final'!S78-'8-5-13 initial'!S78)*60</f>
        <v>4321.9999999999982</v>
      </c>
      <c r="BW63">
        <f>BX63/60</f>
        <v>4.6329061868880687E-2</v>
      </c>
      <c r="BX63">
        <f>BU63/BV63</f>
        <v>2.7797437121328414</v>
      </c>
      <c r="BY63">
        <f>BX63/3</f>
        <v>0.92658123737761378</v>
      </c>
      <c r="BZ63" s="48">
        <v>8685.5099462829494</v>
      </c>
      <c r="CA63">
        <v>11490</v>
      </c>
      <c r="CB63">
        <f>CC63/60</f>
        <v>1.2598650922951767E-2</v>
      </c>
      <c r="CC63">
        <v>0.75591905537710602</v>
      </c>
      <c r="CD63">
        <v>0.25197301845903503</v>
      </c>
    </row>
    <row r="64" spans="1:82">
      <c r="A64" s="18">
        <v>61</v>
      </c>
      <c r="B64">
        <v>2236.58064798755</v>
      </c>
      <c r="C64">
        <v>2788.9384519722498</v>
      </c>
      <c r="D64">
        <v>45541.202703546202</v>
      </c>
      <c r="F64">
        <v>2307.2267519082302</v>
      </c>
      <c r="G64">
        <v>16040.8070035294</v>
      </c>
      <c r="H64">
        <v>27388.989852451999</v>
      </c>
      <c r="I64">
        <v>2543.3575832921201</v>
      </c>
      <c r="J64">
        <v>16669.8214825055</v>
      </c>
      <c r="K64">
        <v>27697.742622518101</v>
      </c>
      <c r="M64">
        <f>C64-B64</f>
        <v>552.35780398469979</v>
      </c>
      <c r="N64">
        <f>D64-B64</f>
        <v>43304.622055558648</v>
      </c>
      <c r="O64">
        <f>(G64-F64)+N64</f>
        <v>57038.202307179818</v>
      </c>
      <c r="P64">
        <f>(H64-F64)+N64</f>
        <v>68386.38515610242</v>
      </c>
      <c r="Q64">
        <f>(J64-I64)+P64</f>
        <v>82512.849055315804</v>
      </c>
      <c r="R64">
        <f>(K64-J64)+Q64</f>
        <v>93540.770195328398</v>
      </c>
      <c r="U64">
        <v>6.5756881426752803E-2</v>
      </c>
      <c r="V64">
        <v>0.105982922309248</v>
      </c>
      <c r="W64">
        <v>8.2932247896263106E-2</v>
      </c>
      <c r="X64">
        <v>4.8978252490809997E-2</v>
      </c>
      <c r="Y64">
        <v>5.4512865243549397E-2</v>
      </c>
      <c r="Z64">
        <v>3.6496887843106597E-2</v>
      </c>
      <c r="AC64" s="54">
        <f>1.013*10^5*50*10^(-6)*(M64*10^(-6))/(8.3145*(273.15+25))/3*12.011*10^6</f>
        <v>4.5184231999050777</v>
      </c>
      <c r="AD64" s="54">
        <f>1.013*10^5*50*10^(-6)*(N64*10^(-6))/(8.3145*(273.15+25))/3*12.011*10^6</f>
        <v>354.24249924126582</v>
      </c>
      <c r="AE64" s="54">
        <f>1.013*10^5*50*10^(-6)*(O64*10^(-6))/(8.3145*(273.15+25))/3*12.011*10^6</f>
        <v>466.58657617658901</v>
      </c>
      <c r="AF64" s="54">
        <f>1.013*10^5*50*10^(-6)*(P64*10^(-6))/(8.3145*(273.15+25))/3*12.011*10^6</f>
        <v>559.41751346295189</v>
      </c>
      <c r="AG64" s="54">
        <f>1.013*10^5*50*10^(-6)*(Q64*10^(-6))/(8.3145*(273.15+25))/3*12.011*10^6</f>
        <v>674.97547562871387</v>
      </c>
      <c r="AH64" s="54">
        <f>1.013*10^5*50*10^(-6)*(R64*10^(-6))/(8.3145*(273.15+25))/3*12.011*10^6</f>
        <v>765.18659307159658</v>
      </c>
      <c r="AK64" s="54">
        <f>1.013*10^5*50*10^(-6)*(U64*10^(-6))/(8.3145*(273.15+25))/3*12.011*10^6</f>
        <v>5.3790752379824665E-4</v>
      </c>
      <c r="AL64" s="54">
        <f>1.013*10^5*50*10^(-6)*(V64*10^(-6))/(8.3145*(273.15+25))/3*12.011*10^6</f>
        <v>8.6696646901925241E-4</v>
      </c>
      <c r="AM64" s="54">
        <f>1.013*10^5*50*10^(-6)*(W64*10^(-6))/(8.3145*(273.15+25))/3*12.011*10^6</f>
        <v>6.7840626168673456E-4</v>
      </c>
      <c r="AN64" s="54">
        <f>1.013*10^5*50*10^(-6)*(X64*10^(-6))/(8.3145*(273.15+25))/3*12.011*10^6</f>
        <v>4.0065419687890317E-4</v>
      </c>
      <c r="AO64" s="54">
        <f>1.013*10^5*50*10^(-6)*(Y64*10^(-6))/(8.3145*(273.15+25))/3*12.011*10^6</f>
        <v>4.4592869555360809E-4</v>
      </c>
      <c r="AP64" s="54">
        <f>1.013*10^5*50*10^(-6)*(Z64*10^(-6))/(8.3145*(273.15+25))/3*12.011*10^6</f>
        <v>2.9855355272430324E-4</v>
      </c>
      <c r="AZ64" s="18">
        <v>61</v>
      </c>
      <c r="BA64">
        <f>C64-B64</f>
        <v>552.35780398469979</v>
      </c>
      <c r="BB64">
        <f>('7-24-13 Final'!S79-'7-24-13 Initial'!S79)*60</f>
        <v>139.99999999999545</v>
      </c>
      <c r="BC64">
        <f>BD64/60</f>
        <v>6.5756881426752109E-2</v>
      </c>
      <c r="BD64">
        <f>BA64/BB64</f>
        <v>3.9454128856051267</v>
      </c>
      <c r="BE64">
        <f>BD64/3</f>
        <v>1.3151376285350422</v>
      </c>
      <c r="BF64" s="48">
        <f>D64-B64</f>
        <v>43304.622055558648</v>
      </c>
      <c r="BG64">
        <f>('7-29-13 Final #2'!S79-'7-24-13 Initial'!S79)*60</f>
        <v>6810</v>
      </c>
      <c r="BH64">
        <f>BI64/60</f>
        <v>0.1059829223092478</v>
      </c>
      <c r="BI64">
        <f>BF64/BG64</f>
        <v>6.3589753385548677</v>
      </c>
      <c r="BJ64">
        <f>BI64/3</f>
        <v>2.1196584461849559</v>
      </c>
      <c r="BK64" s="48">
        <f>G64-F64</f>
        <v>13733.58025162117</v>
      </c>
      <c r="BL64">
        <f>60*('8-1-13 Final #1'!S79-'7-30-13 Initial + cap'!S79)</f>
        <v>2760</v>
      </c>
      <c r="BM64">
        <f>BN64/60</f>
        <v>8.2932247896263106E-2</v>
      </c>
      <c r="BN64">
        <f>BK64/BL64</f>
        <v>4.9759348737757865</v>
      </c>
      <c r="BO64">
        <f>BN64/3</f>
        <v>1.6586449579252622</v>
      </c>
      <c r="BP64" s="48">
        <f>H64-F64</f>
        <v>25081.763100543769</v>
      </c>
      <c r="BQ64">
        <f>('8-5-13 final 1'!S79-'7-30-13 Initial + cap'!S79)*60</f>
        <v>8535</v>
      </c>
      <c r="BR64">
        <f>BS64/60</f>
        <v>4.8978252490809934E-2</v>
      </c>
      <c r="BS64">
        <f>BP64/BQ64</f>
        <v>2.9386951494485962</v>
      </c>
      <c r="BT64">
        <f>BS64/3</f>
        <v>0.97956504981619874</v>
      </c>
      <c r="BU64" s="48">
        <f>'8-8-13 Final'!U79-'8-5-13 initial'!U79</f>
        <v>14126.463899213381</v>
      </c>
      <c r="BV64">
        <f>('8-8-13 Final'!S79-'8-5-13 initial'!S79)*60</f>
        <v>4319.0000000000009</v>
      </c>
      <c r="BW64">
        <f>BX64/60</f>
        <v>5.4512865243549348E-2</v>
      </c>
      <c r="BX64">
        <f>BU64/BV64</f>
        <v>3.2707719146129608</v>
      </c>
      <c r="BY64">
        <f>BX64/3</f>
        <v>1.0902573048709869</v>
      </c>
      <c r="BZ64" s="48">
        <v>25154.385039225999</v>
      </c>
      <c r="CA64">
        <v>11487</v>
      </c>
      <c r="CB64">
        <f>CC64/60</f>
        <v>3.6496887843106667E-2</v>
      </c>
      <c r="CC64">
        <v>2.1898132705864</v>
      </c>
      <c r="CD64">
        <v>0.72993775686213302</v>
      </c>
    </row>
    <row r="65" spans="1:82">
      <c r="A65">
        <v>62</v>
      </c>
      <c r="B65">
        <v>1854.94787699157</v>
      </c>
      <c r="C65">
        <v>2295.1228956182599</v>
      </c>
      <c r="D65">
        <v>15628.8056081984</v>
      </c>
      <c r="F65">
        <v>920.25050243697297</v>
      </c>
      <c r="G65">
        <v>7180.8742667341703</v>
      </c>
      <c r="H65">
        <v>18809.971061570399</v>
      </c>
      <c r="I65">
        <v>1727.73278535385</v>
      </c>
      <c r="J65">
        <v>15514.9254428323</v>
      </c>
      <c r="K65">
        <v>27359.1872976177</v>
      </c>
      <c r="M65">
        <f>C65-B65</f>
        <v>440.17501862668996</v>
      </c>
      <c r="N65">
        <f>D65-B65</f>
        <v>13773.85773120683</v>
      </c>
      <c r="O65">
        <f>(G65-F65)+N65</f>
        <v>20034.481495504027</v>
      </c>
      <c r="P65">
        <f>(H65-F65)+N65</f>
        <v>31663.578290340258</v>
      </c>
      <c r="Q65">
        <f>(J65-I65)+P65</f>
        <v>45450.77094781871</v>
      </c>
      <c r="R65">
        <f>(K65-J65)+Q65</f>
        <v>57295.03280260411</v>
      </c>
      <c r="U65">
        <v>5.24017879317508E-2</v>
      </c>
      <c r="V65">
        <v>3.3704932538557303E-2</v>
      </c>
      <c r="W65">
        <v>3.7805699059765698E-2</v>
      </c>
      <c r="X65">
        <v>3.4934037412875298E-2</v>
      </c>
      <c r="Y65">
        <v>5.3203645355708998E-2</v>
      </c>
      <c r="Z65">
        <v>3.7185838138729999E-2</v>
      </c>
      <c r="AC65" s="54">
        <f>1.013*10^5*50*10^(-6)*(M65*10^(-6))/(8.3145*(273.15+25))/3*12.011*10^6</f>
        <v>3.6007403205560164</v>
      </c>
      <c r="AD65" s="54">
        <f>1.013*10^5*50*10^(-6)*(N65*10^(-6))/(8.3145*(273.15+25))/3*12.011*10^6</f>
        <v>112.67355666183508</v>
      </c>
      <c r="AE65" s="54">
        <f>1.013*10^5*50*10^(-6)*(O65*10^(-6))/(8.3145*(273.15+25))/3*12.011*10^6</f>
        <v>163.88700464502151</v>
      </c>
      <c r="AF65" s="54">
        <f>1.013*10^5*50*10^(-6)*(P65*10^(-6))/(8.3145*(273.15+25))/3*12.011*10^6</f>
        <v>259.01588735957671</v>
      </c>
      <c r="AG65" s="54">
        <f>1.013*10^5*50*10^(-6)*(Q65*10^(-6))/(8.3145*(273.15+25))/3*12.011*10^6</f>
        <v>371.79852701037299</v>
      </c>
      <c r="AH65" s="54">
        <f>1.013*10^5*50*10^(-6)*(R65*10^(-6))/(8.3145*(273.15+25))/3*12.011*10^6</f>
        <v>468.6875130341777</v>
      </c>
      <c r="AK65" s="54">
        <f>1.013*10^5*50*10^(-6)*(U65*10^(-6))/(8.3145*(273.15+25))/3*12.011*10^6</f>
        <v>4.2865956197097064E-4</v>
      </c>
      <c r="AL65" s="54">
        <f>1.013*10^5*50*10^(-6)*(V65*10^(-6))/(8.3145*(273.15+25))/3*12.011*10^6</f>
        <v>2.7571466906923853E-4</v>
      </c>
      <c r="AM65" s="54">
        <f>1.013*10^5*50*10^(-6)*(W65*10^(-6))/(8.3145*(273.15+25))/3*12.011*10^6</f>
        <v>3.0925995158929021E-4</v>
      </c>
      <c r="AN65" s="54">
        <f>1.013*10^5*50*10^(-6)*(X65*10^(-6))/(8.3145*(273.15+25))/3*12.011*10^6</f>
        <v>2.8576905037637523E-4</v>
      </c>
      <c r="AO65" s="54">
        <f>1.013*10^5*50*10^(-6)*(Y65*10^(-6))/(8.3145*(273.15+25))/3*12.011*10^6</f>
        <v>4.3521895365746747E-4</v>
      </c>
      <c r="AP65" s="54">
        <f>1.013*10^5*50*10^(-6)*(Z65*10^(-6))/(8.3145*(273.15+25))/3*12.011*10^6</f>
        <v>3.0418933622707869E-4</v>
      </c>
      <c r="AZ65">
        <v>62</v>
      </c>
      <c r="BA65">
        <f>C65-B65</f>
        <v>440.17501862668996</v>
      </c>
      <c r="BB65">
        <f>('7-24-13 Final'!S80-'7-24-13 Initial'!S80)*60</f>
        <v>139.99999999999545</v>
      </c>
      <c r="BC65">
        <f>BD65/60</f>
        <v>5.2401787931750508E-2</v>
      </c>
      <c r="BD65">
        <f>BA65/BB65</f>
        <v>3.1441072759050304</v>
      </c>
      <c r="BE65">
        <f>BD65/3</f>
        <v>1.0480357586350102</v>
      </c>
      <c r="BF65" s="48">
        <f>D65-B65</f>
        <v>13773.85773120683</v>
      </c>
      <c r="BG65">
        <f>('7-29-13 Final #2'!S80-'7-24-13 Initial'!S80)*60</f>
        <v>6810.9999999999991</v>
      </c>
      <c r="BH65">
        <f>BI65/60</f>
        <v>3.3704932538557317E-2</v>
      </c>
      <c r="BI65">
        <f>BF65/BG65</f>
        <v>2.0222959523134389</v>
      </c>
      <c r="BJ65">
        <f>BI65/3</f>
        <v>0.67409865077114628</v>
      </c>
      <c r="BK65" s="48">
        <f>G65-F65</f>
        <v>6260.6237642971973</v>
      </c>
      <c r="BL65">
        <f>60*('8-1-13 Final #1'!S80-'7-30-13 Initial + cap'!S80)</f>
        <v>2760</v>
      </c>
      <c r="BM65">
        <f>BN65/60</f>
        <v>3.7805699059765684E-2</v>
      </c>
      <c r="BN65">
        <f>BK65/BL65</f>
        <v>2.2683419435859409</v>
      </c>
      <c r="BO65">
        <f>BN65/3</f>
        <v>0.75611398119531359</v>
      </c>
      <c r="BP65" s="48">
        <f>H65-F65</f>
        <v>17889.720559133428</v>
      </c>
      <c r="BQ65">
        <f>('8-5-13 final 1'!S80-'7-30-13 Initial + cap'!S80)*60</f>
        <v>8535</v>
      </c>
      <c r="BR65">
        <f>BS65/60</f>
        <v>3.493403741287527E-2</v>
      </c>
      <c r="BS65">
        <f>BP65/BQ65</f>
        <v>2.0960422447725162</v>
      </c>
      <c r="BT65">
        <f>BS65/3</f>
        <v>0.69868074825750537</v>
      </c>
      <c r="BU65" s="48">
        <f>'8-8-13 Final'!U80-'8-5-13 initial'!U80</f>
        <v>13787.192657478436</v>
      </c>
      <c r="BV65">
        <f>('8-8-13 Final'!S80-'8-5-13 initial'!S80)*60</f>
        <v>4319.0000000000009</v>
      </c>
      <c r="BW65">
        <f>BX65/60</f>
        <v>5.3203645355709005E-2</v>
      </c>
      <c r="BX65">
        <f>BU65/BV65</f>
        <v>3.1922187213425404</v>
      </c>
      <c r="BY65">
        <f>BX65/3</f>
        <v>1.0640729071141801</v>
      </c>
      <c r="BZ65" s="48">
        <v>25631.454512263801</v>
      </c>
      <c r="CA65">
        <v>11488</v>
      </c>
      <c r="CB65">
        <f>CC65/60</f>
        <v>3.7185838138729999E-2</v>
      </c>
      <c r="CC65">
        <v>2.2311502883237999</v>
      </c>
      <c r="CD65">
        <v>0.74371676277459997</v>
      </c>
    </row>
    <row r="66" spans="1:82">
      <c r="A66" s="18">
        <v>63</v>
      </c>
      <c r="B66">
        <v>2228.1820608026301</v>
      </c>
      <c r="C66">
        <v>2696.2768065331102</v>
      </c>
      <c r="D66">
        <v>16947.589696606599</v>
      </c>
      <c r="F66">
        <v>1095.7649556921399</v>
      </c>
      <c r="G66">
        <v>6443.66592412103</v>
      </c>
      <c r="H66">
        <v>13950.492823842</v>
      </c>
      <c r="I66">
        <v>1456.34146135724</v>
      </c>
      <c r="J66">
        <v>10808.070292287101</v>
      </c>
      <c r="K66">
        <v>16192.491091227001</v>
      </c>
      <c r="M66">
        <f>C66-B66</f>
        <v>468.0947457304801</v>
      </c>
      <c r="N66">
        <f>D66-B66</f>
        <v>14719.407635803969</v>
      </c>
      <c r="O66">
        <f>(G66-F66)+N66</f>
        <v>20067.308604232858</v>
      </c>
      <c r="P66">
        <f>(H66-F66)+N66</f>
        <v>27574.135503953828</v>
      </c>
      <c r="Q66">
        <f>(J66-I66)+P66</f>
        <v>36925.864334883692</v>
      </c>
      <c r="R66">
        <f>(K66-J66)+Q66</f>
        <v>42310.285133823592</v>
      </c>
      <c r="U66">
        <v>5.6126468313009298E-2</v>
      </c>
      <c r="V66">
        <v>3.60240030244834E-2</v>
      </c>
      <c r="W66">
        <v>3.2294087973604398E-2</v>
      </c>
      <c r="X66">
        <v>2.51049290448986E-2</v>
      </c>
      <c r="Y66">
        <v>3.6095911806892901E-2</v>
      </c>
      <c r="Z66">
        <v>2.13846315917425E-2</v>
      </c>
      <c r="AC66" s="54">
        <f>1.013*10^5*50*10^(-6)*(M66*10^(-6))/(8.3145*(273.15+25))/3*12.011*10^6</f>
        <v>3.8291305809465057</v>
      </c>
      <c r="AD66" s="54">
        <f>1.013*10^5*50*10^(-6)*(N66*10^(-6))/(8.3145*(273.15+25))/3*12.011*10^6</f>
        <v>120.40838831403363</v>
      </c>
      <c r="AE66" s="54">
        <f>1.013*10^5*50*10^(-6)*(O66*10^(-6))/(8.3145*(273.15+25))/3*12.011*10^6</f>
        <v>164.15553849861448</v>
      </c>
      <c r="AF66" s="54">
        <f>1.013*10^5*50*10^(-6)*(P66*10^(-6))/(8.3145*(273.15+25))/3*12.011*10^6</f>
        <v>225.56323578591537</v>
      </c>
      <c r="AG66" s="54">
        <f>1.013*10^5*50*10^(-6)*(Q66*10^(-6))/(8.3145*(273.15+25))/3*12.011*10^6</f>
        <v>302.06268633059375</v>
      </c>
      <c r="AH66" s="54">
        <f>1.013*10^5*50*10^(-6)*(R66*10^(-6))/(8.3145*(273.15+25))/3*12.011*10^6</f>
        <v>346.10857774458623</v>
      </c>
      <c r="AK66" s="54">
        <f>1.013*10^5*50*10^(-6)*(U66*10^(-6))/(8.3145*(273.15+25))/3*12.011*10^6</f>
        <v>4.5912836701998173E-4</v>
      </c>
      <c r="AL66" s="54">
        <f>1.013*10^5*50*10^(-6)*(V66*10^(-6))/(8.3145*(273.15+25))/3*12.011*10^6</f>
        <v>2.9468523816454531E-4</v>
      </c>
      <c r="AM66" s="54">
        <f>1.013*10^5*50*10^(-6)*(W66*10^(-6))/(8.3145*(273.15+25))/3*12.011*10^6</f>
        <v>2.6417361222572962E-4</v>
      </c>
      <c r="AN66" s="54">
        <f>1.013*10^5*50*10^(-6)*(X66*10^(-6))/(8.3145*(273.15+25))/3*12.011*10^6</f>
        <v>2.0536451736560013E-4</v>
      </c>
      <c r="AO66" s="54">
        <f>1.013*10^5*50*10^(-6)*(Y66*10^(-6))/(8.3145*(273.15+25))/3*12.011*10^6</f>
        <v>2.9527346975713269E-4</v>
      </c>
      <c r="AP66" s="54">
        <f>1.013*10^5*50*10^(-6)*(Z66*10^(-6))/(8.3145*(273.15+25))/3*12.011*10^6</f>
        <v>1.7493156575050189E-4</v>
      </c>
      <c r="AZ66" s="18">
        <v>63</v>
      </c>
      <c r="BA66">
        <f>C66-B66</f>
        <v>468.0947457304801</v>
      </c>
      <c r="BB66">
        <f>('7-24-13 Final'!S81-'7-24-13 Initial'!S81)*60</f>
        <v>138.99999999999636</v>
      </c>
      <c r="BC66">
        <f>BD66/60</f>
        <v>5.612646831300868E-2</v>
      </c>
      <c r="BD66">
        <f>BA66/BB66</f>
        <v>3.3675880987805207</v>
      </c>
      <c r="BE66">
        <f>BD66/3</f>
        <v>1.1225293662601736</v>
      </c>
      <c r="BF66" s="48">
        <f>D66-B66</f>
        <v>14719.407635803969</v>
      </c>
      <c r="BG66">
        <f>('7-29-13 Final #2'!S81-'7-24-13 Initial'!S81)*60</f>
        <v>6810</v>
      </c>
      <c r="BH66">
        <f>BI66/60</f>
        <v>3.6024003024483525E-2</v>
      </c>
      <c r="BI66">
        <f>BF66/BG66</f>
        <v>2.1614401814690116</v>
      </c>
      <c r="BJ66">
        <f>BI66/3</f>
        <v>0.7204800604896705</v>
      </c>
      <c r="BK66" s="48">
        <f>G66-F66</f>
        <v>5347.9009684288903</v>
      </c>
      <c r="BL66">
        <f>60*('8-1-13 Final #1'!S81-'7-30-13 Initial + cap'!S81)</f>
        <v>2760</v>
      </c>
      <c r="BM66">
        <f>BN66/60</f>
        <v>3.2294087973604411E-2</v>
      </c>
      <c r="BN66">
        <f>BK66/BL66</f>
        <v>1.9376452784162645</v>
      </c>
      <c r="BO66">
        <f>BN66/3</f>
        <v>0.64588175947208815</v>
      </c>
      <c r="BP66" s="48">
        <f>H66-F66</f>
        <v>12854.727868149859</v>
      </c>
      <c r="BQ66">
        <f>('8-5-13 final 1'!S81-'7-30-13 Initial + cap'!S81)*60</f>
        <v>8534</v>
      </c>
      <c r="BR66">
        <f>BS66/60</f>
        <v>2.5104929044898562E-2</v>
      </c>
      <c r="BS66">
        <f>BP66/BQ66</f>
        <v>1.5062957426939136</v>
      </c>
      <c r="BT66">
        <f>BS66/3</f>
        <v>0.50209858089797121</v>
      </c>
      <c r="BU66" s="48">
        <f>'8-8-13 Final'!U81-'8-5-13 initial'!U81</f>
        <v>9351.7288309298219</v>
      </c>
      <c r="BV66">
        <f>('8-8-13 Final'!S81-'8-5-13 initial'!S81)*60</f>
        <v>4318.0000000000018</v>
      </c>
      <c r="BW66">
        <f>BX66/60</f>
        <v>3.6095911806892915E-2</v>
      </c>
      <c r="BX66">
        <f>BU66/BV66</f>
        <v>2.1657547084135751</v>
      </c>
      <c r="BY66">
        <f>BX66/3</f>
        <v>0.72191823613785833</v>
      </c>
      <c r="BZ66" s="48">
        <v>14736.1496298697</v>
      </c>
      <c r="CA66">
        <v>11485</v>
      </c>
      <c r="CB66">
        <f>CC66/60</f>
        <v>2.13846315917425E-2</v>
      </c>
      <c r="CC66">
        <v>1.2830778955045501</v>
      </c>
      <c r="CD66">
        <v>0.42769263183485001</v>
      </c>
    </row>
    <row r="67" spans="1:82">
      <c r="A67" s="18">
        <v>64</v>
      </c>
      <c r="B67">
        <v>2022.25145076747</v>
      </c>
      <c r="C67">
        <v>2514.33497983097</v>
      </c>
      <c r="D67">
        <v>14880.534839243001</v>
      </c>
      <c r="F67">
        <v>871.72094428550997</v>
      </c>
      <c r="G67">
        <v>4535.0158919906498</v>
      </c>
      <c r="H67">
        <v>11535.5773183042</v>
      </c>
      <c r="I67">
        <v>1135.8136808653501</v>
      </c>
      <c r="J67">
        <v>8651.4925137769605</v>
      </c>
      <c r="K67">
        <v>13516.1851199149</v>
      </c>
      <c r="M67">
        <f>C67-B67</f>
        <v>492.08352906350001</v>
      </c>
      <c r="N67">
        <f>D67-B67</f>
        <v>12858.283388475531</v>
      </c>
      <c r="O67">
        <f>(G67-F67)+N67</f>
        <v>16521.578336180672</v>
      </c>
      <c r="P67">
        <f>(H67-F67)+N67</f>
        <v>23522.139762494222</v>
      </c>
      <c r="Q67">
        <f>(J67-I67)+P67</f>
        <v>31037.818595405832</v>
      </c>
      <c r="R67">
        <f>(K67-J67)+Q67</f>
        <v>35902.51120154377</v>
      </c>
      <c r="U67">
        <v>5.9002821230634703E-2</v>
      </c>
      <c r="V67">
        <v>3.14691223408603E-2</v>
      </c>
      <c r="W67">
        <v>2.2121346302567301E-2</v>
      </c>
      <c r="X67">
        <v>2.08188988599015E-2</v>
      </c>
      <c r="Y67">
        <v>2.9015824387736901E-2</v>
      </c>
      <c r="Z67">
        <v>1.7966001217602098E-2</v>
      </c>
      <c r="AC67" s="54">
        <f>1.013*10^5*50*10^(-6)*(M67*10^(-6))/(8.3145*(273.15+25))/3*12.011*10^6</f>
        <v>4.0253647508405104</v>
      </c>
      <c r="AD67" s="54">
        <f>1.013*10^5*50*10^(-6)*(N67*10^(-6))/(8.3145*(273.15+25))/3*12.011*10^6</f>
        <v>105.18393250591468</v>
      </c>
      <c r="AE67" s="54">
        <f>1.013*10^5*50*10^(-6)*(O67*10^(-6))/(8.3145*(273.15+25))/3*12.011*10^6</f>
        <v>135.15058955393289</v>
      </c>
      <c r="AF67" s="54">
        <f>1.013*10^5*50*10^(-6)*(P67*10^(-6))/(8.3145*(273.15+25))/3*12.011*10^6</f>
        <v>192.4169102844931</v>
      </c>
      <c r="AG67" s="54">
        <f>1.013*10^5*50*10^(-6)*(Q67*10^(-6))/(8.3145*(273.15+25))/3*12.011*10^6</f>
        <v>253.89701857061402</v>
      </c>
      <c r="AH67" s="54">
        <f>1.013*10^5*50*10^(-6)*(R67*10^(-6))/(8.3145*(273.15+25))/3*12.011*10^6</f>
        <v>293.69140505961025</v>
      </c>
      <c r="AK67" s="54">
        <f>1.013*10^5*50*10^(-6)*(U67*10^(-6))/(8.3145*(273.15+25))/3*12.011*10^6</f>
        <v>4.8265764398566628E-4</v>
      </c>
      <c r="AL67" s="54">
        <f>1.013*10^5*50*10^(-6)*(V67*10^(-6))/(8.3145*(273.15+25))/3*12.011*10^6</f>
        <v>2.5742518968652607E-4</v>
      </c>
      <c r="AM67" s="54">
        <f>1.013*10^5*50*10^(-6)*(W67*10^(-6))/(8.3145*(273.15+25))/3*12.011*10^6</f>
        <v>1.8095807396146285E-4</v>
      </c>
      <c r="AN67" s="54">
        <f>1.013*10^5*50*10^(-6)*(X67*10^(-6))/(8.3145*(273.15+25))/3*12.011*10^6</f>
        <v>1.7030373233879753E-4</v>
      </c>
      <c r="AO67" s="54">
        <f>1.013*10^5*50*10^(-6)*(Y67*10^(-6))/(8.3145*(273.15+25))/3*12.011*10^6</f>
        <v>2.3735660677214504E-4</v>
      </c>
      <c r="AP67" s="54">
        <f>1.013*10^5*50*10^(-6)*(Z67*10^(-6))/(8.3145*(273.15+25))/3*12.011*10^6</f>
        <v>1.469663253157998E-4</v>
      </c>
      <c r="AZ67" s="18">
        <v>64</v>
      </c>
      <c r="BA67">
        <f>C67-B67</f>
        <v>492.08352906350001</v>
      </c>
      <c r="BB67">
        <f>('7-24-13 Final'!S82-'7-24-13 Initial'!S82)*60</f>
        <v>139.00000000000318</v>
      </c>
      <c r="BC67">
        <f>BD67/60</f>
        <v>5.9002821230634141E-2</v>
      </c>
      <c r="BD67">
        <f>BA67/BB67</f>
        <v>3.5401692738380484</v>
      </c>
      <c r="BE67">
        <f>BD67/3</f>
        <v>1.1800564246126828</v>
      </c>
      <c r="BF67" s="48">
        <f>D67-B67</f>
        <v>12858.283388475531</v>
      </c>
      <c r="BG67">
        <f>('7-29-13 Final #2'!S82-'7-24-13 Initial'!S82)*60</f>
        <v>6810</v>
      </c>
      <c r="BH67">
        <f>BI67/60</f>
        <v>3.1469122340860328E-2</v>
      </c>
      <c r="BI67">
        <f>BF67/BG67</f>
        <v>1.8881473404516198</v>
      </c>
      <c r="BJ67">
        <f>BI67/3</f>
        <v>0.62938244681720656</v>
      </c>
      <c r="BK67" s="48">
        <f>G67-F67</f>
        <v>3663.2949477051397</v>
      </c>
      <c r="BL67">
        <f>60*('8-1-13 Final #1'!S82-'7-30-13 Initial + cap'!S82)</f>
        <v>2760</v>
      </c>
      <c r="BM67">
        <f>BN67/60</f>
        <v>2.212134630256727E-2</v>
      </c>
      <c r="BN67">
        <f>BK67/BL67</f>
        <v>1.3272807781540361</v>
      </c>
      <c r="BO67">
        <f>BN67/3</f>
        <v>0.44242692605134537</v>
      </c>
      <c r="BP67" s="48">
        <f>H67-F67</f>
        <v>10663.856374018691</v>
      </c>
      <c r="BQ67">
        <f>('8-5-13 final 1'!S82-'7-30-13 Initial + cap'!S82)*60</f>
        <v>8537.0000000000055</v>
      </c>
      <c r="BR67">
        <f>BS67/60</f>
        <v>2.0818898859901382E-2</v>
      </c>
      <c r="BS67">
        <f>BP67/BQ67</f>
        <v>1.2491339315940828</v>
      </c>
      <c r="BT67">
        <f>BS67/3</f>
        <v>0.4163779771980276</v>
      </c>
      <c r="BU67" s="48">
        <f>'8-8-13 Final'!U82-'8-5-13 initial'!U82</f>
        <v>7515.6788329116189</v>
      </c>
      <c r="BV67">
        <f>('8-8-13 Final'!S82-'8-5-13 initial'!S82)*60</f>
        <v>4316.9999999999964</v>
      </c>
      <c r="BW67">
        <f>BX67/60</f>
        <v>2.9015824387736953E-2</v>
      </c>
      <c r="BX67">
        <f>BU67/BV67</f>
        <v>1.7409494632642171</v>
      </c>
      <c r="BY67">
        <f>BX67/3</f>
        <v>0.58031648775473899</v>
      </c>
      <c r="BZ67" s="48">
        <v>12380.371439049601</v>
      </c>
      <c r="CA67">
        <v>11485</v>
      </c>
      <c r="CB67">
        <f>CC67/60</f>
        <v>1.7966001217602168E-2</v>
      </c>
      <c r="CC67">
        <v>1.0779600730561301</v>
      </c>
      <c r="CD67">
        <v>0.35932002435204202</v>
      </c>
    </row>
    <row r="68" spans="1:82">
      <c r="A68">
        <v>65</v>
      </c>
      <c r="B68">
        <v>2091.8168579957</v>
      </c>
      <c r="C68">
        <v>2659.4747619977602</v>
      </c>
      <c r="D68">
        <v>19666.840965219501</v>
      </c>
      <c r="F68">
        <v>861.17300726399401</v>
      </c>
      <c r="G68">
        <v>5670.5659951070802</v>
      </c>
      <c r="H68">
        <v>13328.513234505799</v>
      </c>
      <c r="I68">
        <v>1570.4388064793</v>
      </c>
      <c r="J68">
        <v>10465.811376461599</v>
      </c>
      <c r="K68">
        <v>8767.5237076282301</v>
      </c>
      <c r="M68">
        <f>C68-B68</f>
        <v>567.65790400206015</v>
      </c>
      <c r="N68">
        <f>D68-B68</f>
        <v>17575.024107223799</v>
      </c>
      <c r="O68">
        <f>(G68-F68)+N68</f>
        <v>22384.417095066885</v>
      </c>
      <c r="P68">
        <f>(H68-F68)+N68</f>
        <v>30042.364334465601</v>
      </c>
      <c r="Q68">
        <f>(J68-I68)+P68</f>
        <v>38937.736904447898</v>
      </c>
      <c r="R68">
        <f>(K68-J68)+Q68</f>
        <v>37239.449235614527</v>
      </c>
      <c r="U68">
        <v>6.8064496882738801E-2</v>
      </c>
      <c r="V68">
        <v>4.3000156848756597E-2</v>
      </c>
      <c r="W68">
        <v>2.9042228187458299E-2</v>
      </c>
      <c r="X68">
        <v>2.4336964603813901E-2</v>
      </c>
      <c r="Y68">
        <v>3.43503729146677E-2</v>
      </c>
      <c r="Z68">
        <v>1.0445090127059299E-2</v>
      </c>
      <c r="AC68" s="54">
        <f>1.013*10^5*50*10^(-6)*(M68*10^(-6))/(8.3145*(273.15+25))/3*12.011*10^6</f>
        <v>4.6435817952586502</v>
      </c>
      <c r="AD68" s="54">
        <f>1.013*10^5*50*10^(-6)*(N68*10^(-6))/(8.3145*(273.15+25))/3*12.011*10^6</f>
        <v>143.76803603044723</v>
      </c>
      <c r="AE68" s="54">
        <f>1.013*10^5*50*10^(-6)*(O68*10^(-6))/(8.3145*(273.15+25))/3*12.011*10^6</f>
        <v>183.11005798970055</v>
      </c>
      <c r="AF68" s="54">
        <f>1.013*10^5*50*10^(-6)*(P68*10^(-6))/(8.3145*(273.15+25))/3*12.011*10^6</f>
        <v>245.75395696339305</v>
      </c>
      <c r="AG68" s="54">
        <f>1.013*10^5*50*10^(-6)*(Q68*10^(-6))/(8.3145*(273.15+25))/3*12.011*10^6</f>
        <v>318.52030063058714</v>
      </c>
      <c r="AH68" s="54">
        <f>1.013*10^5*50*10^(-6)*(R68*10^(-6))/(8.3145*(273.15+25))/3*12.011*10^6</f>
        <v>304.62788823483152</v>
      </c>
      <c r="AK68" s="54">
        <f>1.013*10^5*50*10^(-6)*(U68*10^(-6))/(8.3145*(273.15+25))/3*12.011*10^6</f>
        <v>5.5678438792068326E-4</v>
      </c>
      <c r="AL68" s="54">
        <f>1.013*10^5*50*10^(-6)*(V68*10^(-6))/(8.3145*(273.15+25))/3*12.011*10^6</f>
        <v>3.5175189868478964E-4</v>
      </c>
      <c r="AM68" s="54">
        <f>1.013*10^5*50*10^(-6)*(W68*10^(-6))/(8.3145*(273.15+25))/3*12.011*10^6</f>
        <v>2.3757259637230304E-4</v>
      </c>
      <c r="AN68" s="54">
        <f>1.013*10^5*50*10^(-6)*(X68*10^(-6))/(8.3145*(273.15+25))/3*12.011*10^6</f>
        <v>1.9908237864633735E-4</v>
      </c>
      <c r="AO68" s="54">
        <f>1.013*10^5*50*10^(-6)*(Y68*10^(-6))/(8.3145*(273.15+25))/3*12.011*10^6</f>
        <v>2.8099453068888803E-4</v>
      </c>
      <c r="AP68" s="54">
        <f>1.013*10^5*50*10^(-6)*(Z68*10^(-6))/(8.3145*(273.15+25))/3*12.011*10^6</f>
        <v>8.5443415870542323E-5</v>
      </c>
      <c r="AZ68">
        <v>65</v>
      </c>
      <c r="BA68">
        <f>C68-B68</f>
        <v>567.65790400206015</v>
      </c>
      <c r="BB68">
        <f>('7-24-13 Final'!S83-'7-24-13 Initial'!S83)*60</f>
        <v>139.00000000000318</v>
      </c>
      <c r="BC68">
        <f>BD68/60</f>
        <v>6.8064496882739467E-2</v>
      </c>
      <c r="BD68">
        <f>BA68/BB68</f>
        <v>4.0838698129643678</v>
      </c>
      <c r="BE68">
        <f>BD68/3</f>
        <v>1.3612899376547893</v>
      </c>
      <c r="BF68" s="48">
        <f>D68-B68</f>
        <v>17575.024107223799</v>
      </c>
      <c r="BG68">
        <f>('7-29-13 Final #2'!S83-'7-24-13 Initial'!S83)*60</f>
        <v>6811.9999999999982</v>
      </c>
      <c r="BH68">
        <f>BI68/60</f>
        <v>4.3000156848756611E-2</v>
      </c>
      <c r="BI68">
        <f>BF68/BG68</f>
        <v>2.5800094109253968</v>
      </c>
      <c r="BJ68">
        <f>BI68/3</f>
        <v>0.86000313697513231</v>
      </c>
      <c r="BK68" s="48">
        <f>G68-F68</f>
        <v>4809.3929878430863</v>
      </c>
      <c r="BL68">
        <f>60*('8-1-13 Final #1'!S83-'7-30-13 Initial + cap'!S83)</f>
        <v>2760</v>
      </c>
      <c r="BM68">
        <f>BN68/60</f>
        <v>2.9042228187458254E-2</v>
      </c>
      <c r="BN68">
        <f>BK68/BL68</f>
        <v>1.7425336912474951</v>
      </c>
      <c r="BO68">
        <f>BN68/3</f>
        <v>0.58084456374916504</v>
      </c>
      <c r="BP68" s="48">
        <f>H68-F68</f>
        <v>12467.340227241804</v>
      </c>
      <c r="BQ68">
        <f>('8-5-13 final 1'!S83-'7-30-13 Initial + cap'!S83)*60</f>
        <v>8538.0000000000036</v>
      </c>
      <c r="BR68">
        <f>BS68/60</f>
        <v>2.4336964603813925E-2</v>
      </c>
      <c r="BS68">
        <f>BP68/BQ68</f>
        <v>1.4602178762288356</v>
      </c>
      <c r="BT68">
        <f>BS68/3</f>
        <v>0.48673929207627853</v>
      </c>
      <c r="BU68" s="48">
        <f>'8-8-13 Final'!U83-'8-5-13 initial'!U83</f>
        <v>8895.3725699823481</v>
      </c>
      <c r="BV68">
        <f>('8-8-13 Final'!S83-'8-5-13 initial'!S83)*60</f>
        <v>4315.9999999999964</v>
      </c>
      <c r="BW68">
        <f>BX68/60</f>
        <v>3.4350372914667728E-2</v>
      </c>
      <c r="BX68">
        <f>BU68/BV68</f>
        <v>2.0610223748800638</v>
      </c>
      <c r="BY68">
        <f>BX68/3</f>
        <v>0.68700745829335463</v>
      </c>
      <c r="BZ68" s="48">
        <v>7197.0849011489399</v>
      </c>
      <c r="CA68">
        <v>11484</v>
      </c>
      <c r="CB68">
        <f>CC68/60</f>
        <v>1.0445090127059299E-2</v>
      </c>
      <c r="CC68">
        <v>0.62670540762355798</v>
      </c>
      <c r="CD68">
        <v>0.20890180254118601</v>
      </c>
    </row>
    <row r="69" spans="1:82">
      <c r="A69" s="18">
        <v>66</v>
      </c>
      <c r="B69">
        <v>2114.4038084396698</v>
      </c>
      <c r="C69">
        <v>2657.67727648046</v>
      </c>
      <c r="D69">
        <v>19158.572263944701</v>
      </c>
      <c r="F69">
        <v>1289.5243619535599</v>
      </c>
      <c r="G69">
        <v>6942.4609337646998</v>
      </c>
      <c r="H69">
        <v>14058.803569952601</v>
      </c>
      <c r="I69">
        <v>2364.9174338450298</v>
      </c>
      <c r="J69">
        <v>9547.1849242875905</v>
      </c>
      <c r="K69">
        <v>10429.486464015699</v>
      </c>
      <c r="M69">
        <f>C69-B69</f>
        <v>543.27346804079025</v>
      </c>
      <c r="N69">
        <f>D69-B69</f>
        <v>17044.168455505031</v>
      </c>
      <c r="O69">
        <f>(G69-F69)+N69</f>
        <v>22697.105027316171</v>
      </c>
      <c r="P69">
        <f>(H69-F69)+N69</f>
        <v>29813.44766350407</v>
      </c>
      <c r="Q69">
        <f>(J69-I69)+P69</f>
        <v>36995.715153946629</v>
      </c>
      <c r="R69">
        <f>(K69-J69)+Q69</f>
        <v>37878.016693674741</v>
      </c>
      <c r="U69">
        <v>6.5612737686083902E-2</v>
      </c>
      <c r="V69">
        <v>4.1707454743564402E-2</v>
      </c>
      <c r="W69">
        <v>3.4136090409487597E-2</v>
      </c>
      <c r="X69">
        <v>2.49205292896157E-2</v>
      </c>
      <c r="Y69">
        <v>2.7754337624401201E-2</v>
      </c>
      <c r="Z69">
        <v>1.17071234070357E-2</v>
      </c>
      <c r="AC69" s="54">
        <f>1.013*10^5*50*10^(-6)*(M69*10^(-6))/(8.3145*(273.15+25))/3*12.011*10^6</f>
        <v>4.4441110891888327</v>
      </c>
      <c r="AD69" s="54">
        <f>1.013*10^5*50*10^(-6)*(N69*10^(-6))/(8.3145*(273.15+25))/3*12.011*10^6</f>
        <v>139.42550574442046</v>
      </c>
      <c r="AE69" s="54">
        <f>1.013*10^5*50*10^(-6)*(O69*10^(-6))/(8.3145*(273.15+25))/3*12.011*10^6</f>
        <v>185.66792247032018</v>
      </c>
      <c r="AF69" s="54">
        <f>1.013*10^5*50*10^(-6)*(P69*10^(-6))/(8.3145*(273.15+25))/3*12.011*10^6</f>
        <v>243.88136208113403</v>
      </c>
      <c r="AG69" s="54">
        <f>1.013*10^5*50*10^(-6)*(Q69*10^(-6))/(8.3145*(273.15+25))/3*12.011*10^6</f>
        <v>302.63408327494659</v>
      </c>
      <c r="AH69" s="54">
        <f>1.013*10^5*50*10^(-6)*(R69*10^(-6))/(8.3145*(273.15+25))/3*12.011*10^6</f>
        <v>309.85152768807905</v>
      </c>
      <c r="AK69" s="54">
        <f>1.013*10^5*50*10^(-6)*(U69*10^(-6))/(8.3145*(273.15+25))/3*12.011*10^6</f>
        <v>5.3672839241409491E-4</v>
      </c>
      <c r="AL69" s="54">
        <f>1.013*10^5*50*10^(-6)*(V69*10^(-6))/(8.3145*(273.15+25))/3*12.011*10^6</f>
        <v>3.4117727632853825E-4</v>
      </c>
      <c r="AM69" s="54">
        <f>1.013*10^5*50*10^(-6)*(W69*10^(-6))/(8.3145*(273.15+25))/3*12.011*10^6</f>
        <v>2.7924164689553015E-4</v>
      </c>
      <c r="AN69" s="54">
        <f>1.013*10^5*50*10^(-6)*(X69*10^(-6))/(8.3145*(273.15+25))/3*12.011*10^6</f>
        <v>2.0385608184370402E-4</v>
      </c>
      <c r="AO69" s="54">
        <f>1.013*10^5*50*10^(-6)*(Y69*10^(-6))/(8.3145*(273.15+25))/3*12.011*10^6</f>
        <v>2.2703733361856596E-4</v>
      </c>
      <c r="AP69" s="54">
        <f>1.013*10^5*50*10^(-6)*(Z69*10^(-6))/(8.3145*(273.15+25))/3*12.011*10^6</f>
        <v>9.5767159665163611E-5</v>
      </c>
      <c r="AZ69" s="18">
        <v>66</v>
      </c>
      <c r="BA69">
        <f>C69-B69</f>
        <v>543.27346804079025</v>
      </c>
      <c r="BB69">
        <f>('7-24-13 Final'!S84-'7-24-13 Initial'!S84)*60</f>
        <v>138.00000000000409</v>
      </c>
      <c r="BC69">
        <f>BD69/60</f>
        <v>6.5612737686083833E-2</v>
      </c>
      <c r="BD69">
        <f>BA69/BB69</f>
        <v>3.9367642611650298</v>
      </c>
      <c r="BE69">
        <f>BD69/3</f>
        <v>1.3122547537216767</v>
      </c>
      <c r="BF69" s="48">
        <f>D69-B69</f>
        <v>17044.168455505031</v>
      </c>
      <c r="BG69">
        <f>('7-29-13 Final #2'!S84-'7-24-13 Initial'!S84)*60</f>
        <v>6810.9999999999991</v>
      </c>
      <c r="BH69">
        <f>BI69/60</f>
        <v>4.1707454743564409E-2</v>
      </c>
      <c r="BI69">
        <f>BF69/BG69</f>
        <v>2.5024472846138646</v>
      </c>
      <c r="BJ69">
        <f>BI69/3</f>
        <v>0.83414909487128819</v>
      </c>
      <c r="BK69" s="48">
        <f>G69-F69</f>
        <v>5652.9365718111403</v>
      </c>
      <c r="BL69">
        <f>60*('8-1-13 Final #1'!S84-'7-30-13 Initial + cap'!S84)</f>
        <v>2760</v>
      </c>
      <c r="BM69">
        <f>BN69/60</f>
        <v>3.4136090409487556E-2</v>
      </c>
      <c r="BN69">
        <f>BK69/BL69</f>
        <v>2.0481654245692535</v>
      </c>
      <c r="BO69">
        <f>BN69/3</f>
        <v>0.68272180818975114</v>
      </c>
      <c r="BP69" s="48">
        <f>H69-F69</f>
        <v>12769.279207999041</v>
      </c>
      <c r="BQ69">
        <f>('8-5-13 final 1'!S84-'7-30-13 Initial + cap'!S84)*60</f>
        <v>8539.9999999999964</v>
      </c>
      <c r="BR69">
        <f>BS69/60</f>
        <v>2.4920529289615627E-2</v>
      </c>
      <c r="BS69">
        <f>BP69/BQ69</f>
        <v>1.4952317573769376</v>
      </c>
      <c r="BT69">
        <f>BS69/3</f>
        <v>0.49841058579231251</v>
      </c>
      <c r="BU69" s="48">
        <f>'8-8-13 Final'!U84-'8-5-13 initial'!U84</f>
        <v>7182.2674904425585</v>
      </c>
      <c r="BV69">
        <f>('8-8-13 Final'!S84-'8-5-13 initial'!S84)*60</f>
        <v>4313.0000000000064</v>
      </c>
      <c r="BW69">
        <f>BX69/60</f>
        <v>2.7754337624401219E-2</v>
      </c>
      <c r="BX69">
        <f>BU69/BV69</f>
        <v>1.6652602574640731</v>
      </c>
      <c r="BY69">
        <f>BX69/3</f>
        <v>0.55508675248802442</v>
      </c>
      <c r="BZ69" s="48">
        <v>8064.56903017062</v>
      </c>
      <c r="CA69">
        <v>11481</v>
      </c>
      <c r="CB69">
        <f>CC69/60</f>
        <v>1.1707123407035717E-2</v>
      </c>
      <c r="CC69">
        <v>0.70242740442214302</v>
      </c>
      <c r="CD69">
        <v>0.23414246814071399</v>
      </c>
    </row>
    <row r="70" spans="1:82">
      <c r="A70" s="18">
        <v>67</v>
      </c>
      <c r="B70">
        <v>2364.0003712820499</v>
      </c>
      <c r="C70">
        <v>3009.2419427944501</v>
      </c>
      <c r="D70">
        <v>23752.507166542498</v>
      </c>
      <c r="F70">
        <v>1297.3603988044099</v>
      </c>
      <c r="G70">
        <v>9315.3931008220206</v>
      </c>
      <c r="H70">
        <v>22159.532742699099</v>
      </c>
      <c r="I70">
        <v>3079.9325070213199</v>
      </c>
      <c r="J70">
        <v>20333.821851176101</v>
      </c>
      <c r="K70">
        <v>30069.228074073399</v>
      </c>
      <c r="M70">
        <f>C70-B70</f>
        <v>645.24157151240024</v>
      </c>
      <c r="N70">
        <f>D70-B70</f>
        <v>21388.506795260448</v>
      </c>
      <c r="O70">
        <f>(G70-F70)+N70</f>
        <v>29406.53949727806</v>
      </c>
      <c r="P70">
        <f>(H70-F70)+N70</f>
        <v>42250.679139155138</v>
      </c>
      <c r="Q70">
        <f>(J70-I70)+P70</f>
        <v>59504.568483309922</v>
      </c>
      <c r="R70">
        <f>(K70-J70)+Q70</f>
        <v>69239.974706207227</v>
      </c>
      <c r="U70">
        <v>7.9073721999069105E-2</v>
      </c>
      <c r="V70">
        <v>5.2338146124554501E-2</v>
      </c>
      <c r="W70">
        <v>4.8418071872087097E-2</v>
      </c>
      <c r="X70">
        <v>4.0724159334533203E-2</v>
      </c>
      <c r="Y70">
        <v>6.6720376427512801E-2</v>
      </c>
      <c r="Z70">
        <v>3.9193307727123899E-2</v>
      </c>
      <c r="AC70" s="54">
        <f>1.013*10^5*50*10^(-6)*(M70*10^(-6))/(8.3145*(273.15+25))/3*12.011*10^6</f>
        <v>5.2782353489579705</v>
      </c>
      <c r="AD70" s="54">
        <f>1.013*10^5*50*10^(-6)*(N70*10^(-6))/(8.3145*(273.15+25))/3*12.011*10^6</f>
        <v>174.96326587196941</v>
      </c>
      <c r="AE70" s="54">
        <f>1.013*10^5*50*10^(-6)*(O70*10^(-6))/(8.3145*(273.15+25))/3*12.011*10^6</f>
        <v>240.55275282596835</v>
      </c>
      <c r="AF70" s="54">
        <f>1.013*10^5*50*10^(-6)*(P70*10^(-6))/(8.3145*(273.15+25))/3*12.011*10^6</f>
        <v>345.62098599297082</v>
      </c>
      <c r="AG70" s="54">
        <f>1.013*10^5*50*10^(-6)*(Q70*10^(-6))/(8.3145*(273.15+25))/3*12.011*10^6</f>
        <v>486.76206038138207</v>
      </c>
      <c r="AH70" s="54">
        <f>1.013*10^5*50*10^(-6)*(R70*10^(-6))/(8.3145*(273.15+25))/3*12.011*10^6</f>
        <v>566.40008671269459</v>
      </c>
      <c r="AK70" s="54">
        <f>1.013*10^5*50*10^(-6)*(U70*10^(-6))/(8.3145*(273.15+25))/3*12.011*10^6</f>
        <v>6.4684256727426479E-4</v>
      </c>
      <c r="AL70" s="54">
        <f>1.013*10^5*50*10^(-6)*(V70*10^(-6))/(8.3145*(273.15+25))/3*12.011*10^6</f>
        <v>4.2813895627653642E-4</v>
      </c>
      <c r="AM70" s="54">
        <f>1.013*10^5*50*10^(-6)*(W70*10^(-6))/(8.3145*(273.15+25))/3*12.011*10^6</f>
        <v>3.9607178112318258E-4</v>
      </c>
      <c r="AN70" s="54">
        <f>1.013*10^5*50*10^(-6)*(X70*10^(-6))/(8.3145*(273.15+25))/3*12.011*10^6</f>
        <v>3.331336771316492E-4</v>
      </c>
      <c r="AO70" s="54">
        <f>1.013*10^5*50*10^(-6)*(Y70*10^(-6))/(8.3145*(273.15+25))/3*12.011*10^6</f>
        <v>5.4578915076725217E-4</v>
      </c>
      <c r="AP70" s="54">
        <f>1.013*10^5*50*10^(-6)*(Z70*10^(-6))/(8.3145*(273.15+25))/3*12.011*10^6</f>
        <v>3.2061093305411323E-4</v>
      </c>
      <c r="AZ70" s="18">
        <v>67</v>
      </c>
      <c r="BA70">
        <f>C70-B70</f>
        <v>645.24157151240024</v>
      </c>
      <c r="BB70">
        <f>('7-24-13 Final'!S85-'7-24-13 Initial'!S85)*60</f>
        <v>135.99999999999909</v>
      </c>
      <c r="BC70">
        <f>BD70/60</f>
        <v>7.9073721999069188E-2</v>
      </c>
      <c r="BD70">
        <f>BA70/BB70</f>
        <v>4.7444233199441515</v>
      </c>
      <c r="BE70">
        <f>BD70/3</f>
        <v>1.5814744399813838</v>
      </c>
      <c r="BF70" s="48">
        <f>D70-B70</f>
        <v>21388.506795260448</v>
      </c>
      <c r="BG70">
        <f>('7-29-13 Final #2'!S85-'7-24-13 Initial'!S85)*60</f>
        <v>6810.9999999999991</v>
      </c>
      <c r="BH70">
        <f>BI70/60</f>
        <v>5.2338146124554522E-2</v>
      </c>
      <c r="BI70">
        <f>BF70/BG70</f>
        <v>3.1402887674732711</v>
      </c>
      <c r="BJ70">
        <f>BI70/3</f>
        <v>1.0467629224910904</v>
      </c>
      <c r="BK70" s="48">
        <f>G70-F70</f>
        <v>8018.032702017611</v>
      </c>
      <c r="BL70">
        <f>60*('8-1-13 Final #1'!S85-'7-30-13 Initial + cap'!S85)</f>
        <v>2760</v>
      </c>
      <c r="BM70">
        <f>BN70/60</f>
        <v>4.8418071872087021E-2</v>
      </c>
      <c r="BN70">
        <f>BK70/BL70</f>
        <v>2.9050843123252212</v>
      </c>
      <c r="BO70">
        <f>BN70/3</f>
        <v>0.96836143744174041</v>
      </c>
      <c r="BP70" s="48">
        <f>H70-F70</f>
        <v>20862.17234389469</v>
      </c>
      <c r="BQ70">
        <f>('8-5-13 final 1'!S85-'7-30-13 Initial + cap'!S85)*60</f>
        <v>8537.9999999999964</v>
      </c>
      <c r="BR70">
        <f>BS70/60</f>
        <v>4.0724159334533258E-2</v>
      </c>
      <c r="BS70">
        <f>BP70/BQ70</f>
        <v>2.4434495600719957</v>
      </c>
      <c r="BT70">
        <f>BS70/3</f>
        <v>0.81448318669066522</v>
      </c>
      <c r="BU70" s="48">
        <f>'8-8-13 Final'!U85-'8-5-13 initial'!U85</f>
        <v>17253.889344154821</v>
      </c>
      <c r="BV70">
        <f>('8-8-13 Final'!S85-'8-5-13 initial'!S85)*60</f>
        <v>4310.0000000000018</v>
      </c>
      <c r="BW70">
        <f>BX70/60</f>
        <v>6.6720376427512815E-2</v>
      </c>
      <c r="BX70">
        <f>BU70/BV70</f>
        <v>4.0032225856507688</v>
      </c>
      <c r="BY70">
        <f>BX70/3</f>
        <v>1.3344075285502563</v>
      </c>
      <c r="BZ70" s="48">
        <v>26989.295567052101</v>
      </c>
      <c r="CA70">
        <v>11477</v>
      </c>
      <c r="CB70">
        <f>CC70/60</f>
        <v>3.9193307727124004E-2</v>
      </c>
      <c r="CC70">
        <v>2.3515984636274401</v>
      </c>
      <c r="CD70">
        <v>0.78386615454247899</v>
      </c>
    </row>
    <row r="71" spans="1:82">
      <c r="A71">
        <v>68</v>
      </c>
      <c r="B71">
        <v>2602.9557316485898</v>
      </c>
      <c r="C71">
        <v>3267.3897993000701</v>
      </c>
      <c r="D71">
        <v>24942.4617196703</v>
      </c>
      <c r="F71">
        <v>854.52783435935396</v>
      </c>
      <c r="G71">
        <v>6433.9542563041296</v>
      </c>
      <c r="H71">
        <v>18238.144966909502</v>
      </c>
      <c r="I71">
        <v>1804.28719278431</v>
      </c>
      <c r="J71">
        <v>15889.070842363601</v>
      </c>
      <c r="K71">
        <v>27131.650473874401</v>
      </c>
      <c r="M71">
        <f>C71-B71</f>
        <v>664.43406765148029</v>
      </c>
      <c r="N71">
        <f>D71-B71</f>
        <v>22339.505988021709</v>
      </c>
      <c r="O71">
        <f>(G71-F71)+N71</f>
        <v>27918.932409966485</v>
      </c>
      <c r="P71">
        <f>(H71-F71)+N71</f>
        <v>39723.123120571858</v>
      </c>
      <c r="Q71">
        <f>(J71-I71)+P71</f>
        <v>53807.906770151152</v>
      </c>
      <c r="R71">
        <f>(K71-J71)+Q71</f>
        <v>65050.486401661954</v>
      </c>
      <c r="U71">
        <v>8.0245660344382894E-2</v>
      </c>
      <c r="V71">
        <v>5.4649214707230602E-2</v>
      </c>
      <c r="W71">
        <v>3.3692188538313898E-2</v>
      </c>
      <c r="X71">
        <v>3.3917929315051401E-2</v>
      </c>
      <c r="Y71">
        <v>5.4478160631156798E-2</v>
      </c>
      <c r="Z71">
        <v>3.6779883362507801E-2</v>
      </c>
      <c r="AC71" s="54">
        <f>1.013*10^5*50*10^(-6)*(M71*10^(-6))/(8.3145*(273.15+25))/3*12.011*10^6</f>
        <v>5.4352347055223422</v>
      </c>
      <c r="AD71" s="54">
        <f>1.013*10^5*50*10^(-6)*(N71*10^(-6))/(8.3145*(273.15+25))/3*12.011*10^6</f>
        <v>182.74267404664329</v>
      </c>
      <c r="AE71" s="54">
        <f>1.013*10^5*50*10^(-6)*(O71*10^(-6))/(8.3145*(273.15+25))/3*12.011*10^6</f>
        <v>228.38375959882094</v>
      </c>
      <c r="AF71" s="54">
        <f>1.013*10^5*50*10^(-6)*(P71*10^(-6))/(8.3145*(273.15+25))/3*12.011*10^6</f>
        <v>324.94495377067102</v>
      </c>
      <c r="AG71" s="54">
        <f>1.013*10^5*50*10^(-6)*(Q71*10^(-6))/(8.3145*(273.15+25))/3*12.011*10^6</f>
        <v>440.16196120461626</v>
      </c>
      <c r="AH71" s="54">
        <f>1.013*10^5*50*10^(-6)*(R71*10^(-6))/(8.3145*(273.15+25))/3*12.011*10^6</f>
        <v>532.12903810176056</v>
      </c>
      <c r="AK71" s="54">
        <f>1.013*10^5*50*10^(-6)*(U71*10^(-6))/(8.3145*(273.15+25))/3*12.011*10^6</f>
        <v>6.564293122611625E-4</v>
      </c>
      <c r="AL71" s="54">
        <f>1.013*10^5*50*10^(-6)*(V71*10^(-6))/(8.3145*(273.15+25))/3*12.011*10^6</f>
        <v>4.470440678277887E-4</v>
      </c>
      <c r="AM71" s="54">
        <f>1.013*10^5*50*10^(-6)*(W71*10^(-6))/(8.3145*(273.15+25))/3*12.011*10^6</f>
        <v>2.7561042000107301E-4</v>
      </c>
      <c r="AN71" s="54">
        <f>1.013*10^5*50*10^(-6)*(X71*10^(-6))/(8.3145*(273.15+25))/3*12.011*10^6</f>
        <v>2.7745703528453072E-4</v>
      </c>
      <c r="AO71" s="54">
        <f>1.013*10^5*50*10^(-6)*(Y71*10^(-6))/(8.3145*(273.15+25))/3*12.011*10^6</f>
        <v>4.4564480325653695E-4</v>
      </c>
      <c r="AP71" s="54">
        <f>1.013*10^5*50*10^(-6)*(Z71*10^(-6))/(8.3145*(273.15+25))/3*12.011*10^6</f>
        <v>3.0086852593751238E-4</v>
      </c>
      <c r="AZ71">
        <v>68</v>
      </c>
      <c r="BA71">
        <f>C71-B71</f>
        <v>664.43406765148029</v>
      </c>
      <c r="BB71">
        <f>('7-24-13 Final'!S86-'7-24-13 Initial'!S86)*60</f>
        <v>137.99999999999727</v>
      </c>
      <c r="BC71">
        <f>BD71/60</f>
        <v>8.0245660344383268E-2</v>
      </c>
      <c r="BD71">
        <f>BA71/BB71</f>
        <v>4.814739620662996</v>
      </c>
      <c r="BE71">
        <f>BD71/3</f>
        <v>1.6049132068876653</v>
      </c>
      <c r="BF71" s="48">
        <f>D71-B71</f>
        <v>22339.505988021709</v>
      </c>
      <c r="BG71">
        <f>('7-29-13 Final #2'!S86-'7-24-13 Initial'!S86)*60</f>
        <v>6812.9999999999973</v>
      </c>
      <c r="BH71">
        <f>BI71/60</f>
        <v>5.4649214707230581E-2</v>
      </c>
      <c r="BI71">
        <f>BF71/BG71</f>
        <v>3.2789528824338348</v>
      </c>
      <c r="BJ71">
        <f>BI71/3</f>
        <v>1.0929842941446115</v>
      </c>
      <c r="BK71" s="48">
        <f>G71-F71</f>
        <v>5579.4264219447759</v>
      </c>
      <c r="BL71">
        <f>60*('8-1-13 Final #1'!S86-'7-30-13 Initial + cap'!S86)</f>
        <v>2760</v>
      </c>
      <c r="BM71">
        <f>BN71/60</f>
        <v>3.3692188538313864E-2</v>
      </c>
      <c r="BN71">
        <f>BK71/BL71</f>
        <v>2.0215313122988317</v>
      </c>
      <c r="BO71">
        <f>BN71/3</f>
        <v>0.67384377076627722</v>
      </c>
      <c r="BP71" s="48">
        <f>H71-F71</f>
        <v>17383.617132550149</v>
      </c>
      <c r="BQ71">
        <f>('8-5-13 final 1'!S86-'7-30-13 Initial + cap'!S86)*60</f>
        <v>8542</v>
      </c>
      <c r="BR71">
        <f>BS71/60</f>
        <v>3.3917929315051415E-2</v>
      </c>
      <c r="BS71">
        <f>BP71/BQ71</f>
        <v>2.0350757589030848</v>
      </c>
      <c r="BT71">
        <f>BS71/3</f>
        <v>0.6783585863010283</v>
      </c>
      <c r="BU71" s="48">
        <f>'8-8-13 Final'!U86-'8-5-13 initial'!U86</f>
        <v>14084.783649579304</v>
      </c>
      <c r="BV71">
        <f>('8-8-13 Final'!S86-'8-5-13 initial'!S86)*60</f>
        <v>4309.0000000000036</v>
      </c>
      <c r="BW71">
        <f>BX71/60</f>
        <v>5.4478160631156847E-2</v>
      </c>
      <c r="BX71">
        <f>BU71/BV71</f>
        <v>3.2686896378694108</v>
      </c>
      <c r="BY71">
        <f>BX71/3</f>
        <v>1.0895632126231369</v>
      </c>
      <c r="BZ71" s="48">
        <v>25327.3632810901</v>
      </c>
      <c r="CA71">
        <v>11477</v>
      </c>
      <c r="CB71">
        <f>CC71/60</f>
        <v>3.6779883362507836E-2</v>
      </c>
      <c r="CC71">
        <v>2.2067930017504702</v>
      </c>
      <c r="CD71">
        <v>0.73559766725015496</v>
      </c>
    </row>
    <row r="72" spans="1:82">
      <c r="A72" s="18">
        <v>69</v>
      </c>
      <c r="B72">
        <v>2615.6380974184299</v>
      </c>
      <c r="C72">
        <v>3345.2095358535898</v>
      </c>
      <c r="D72">
        <v>24583.920894978899</v>
      </c>
      <c r="F72">
        <v>897.56792347020701</v>
      </c>
      <c r="G72">
        <v>7322.1638450050496</v>
      </c>
      <c r="H72">
        <v>19021.933954828699</v>
      </c>
      <c r="I72">
        <v>1526.8047273351599</v>
      </c>
      <c r="J72">
        <v>16014.6736276592</v>
      </c>
      <c r="K72">
        <v>23412.2851121487</v>
      </c>
      <c r="M72">
        <f>C72-B72</f>
        <v>729.57143843515996</v>
      </c>
      <c r="N72">
        <f>D72-B72</f>
        <v>21968.28279756047</v>
      </c>
      <c r="O72">
        <f>(G72-F72)+N72</f>
        <v>28392.878719095315</v>
      </c>
      <c r="P72">
        <f>(H72-F72)+N72</f>
        <v>40092.648828918958</v>
      </c>
      <c r="Q72">
        <f>(J72-I72)+P72</f>
        <v>54580.517729243002</v>
      </c>
      <c r="R72">
        <f>(K72-J72)+Q72</f>
        <v>61978.1292137325</v>
      </c>
      <c r="U72">
        <v>8.9408264514114003E-2</v>
      </c>
      <c r="V72">
        <v>5.3748979246331201E-2</v>
      </c>
      <c r="W72">
        <v>3.8795869091394E-2</v>
      </c>
      <c r="X72">
        <v>3.5350821204132098E-2</v>
      </c>
      <c r="Y72">
        <v>5.6063264841436498E-2</v>
      </c>
      <c r="Z72">
        <v>3.17871901013995E-2</v>
      </c>
      <c r="AC72" s="54">
        <f>1.013*10^5*50*10^(-6)*(M72*10^(-6))/(8.3145*(273.15+25))/3*12.011*10^6</f>
        <v>5.968074479318588</v>
      </c>
      <c r="AD72" s="54">
        <f>1.013*10^5*50*10^(-6)*(N72*10^(-6))/(8.3145*(273.15+25))/3*12.011*10^6</f>
        <v>179.70597670296041</v>
      </c>
      <c r="AE72" s="54">
        <f>1.013*10^5*50*10^(-6)*(O72*10^(-6))/(8.3145*(273.15+25))/3*12.011*10^6</f>
        <v>232.26075741297046</v>
      </c>
      <c r="AF72" s="54">
        <f>1.013*10^5*50*10^(-6)*(P72*10^(-6))/(8.3145*(273.15+25))/3*12.011*10^6</f>
        <v>327.9677652915945</v>
      </c>
      <c r="AG72" s="54">
        <f>1.013*10^5*50*10^(-6)*(Q72*10^(-6))/(8.3145*(273.15+25))/3*12.011*10^6</f>
        <v>446.48210958828645</v>
      </c>
      <c r="AH72" s="54">
        <f>1.013*10^5*50*10^(-6)*(R72*10^(-6))/(8.3145*(273.15+25))/3*12.011*10^6</f>
        <v>506.99639781644277</v>
      </c>
      <c r="AK72" s="54">
        <f>1.013*10^5*50*10^(-6)*(U72*10^(-6))/(8.3145*(273.15+25))/3*12.011*10^6</f>
        <v>7.3138167638709219E-4</v>
      </c>
      <c r="AL72" s="54">
        <f>1.013*10^5*50*10^(-6)*(V72*10^(-6))/(8.3145*(273.15+25))/3*12.011*10^6</f>
        <v>4.3967991951203894E-4</v>
      </c>
      <c r="AM72" s="54">
        <f>1.013*10^5*50*10^(-6)*(W72*10^(-6))/(8.3145*(273.15+25))/3*12.011*10^6</f>
        <v>3.1735978689619569E-4</v>
      </c>
      <c r="AN72" s="54">
        <f>1.013*10^5*50*10^(-6)*(X72*10^(-6))/(8.3145*(273.15+25))/3*12.011*10^6</f>
        <v>2.891784446823373E-4</v>
      </c>
      <c r="AO72" s="54">
        <f>1.013*10^5*50*10^(-6)*(Y72*10^(-6))/(8.3145*(273.15+25))/3*12.011*10^6</f>
        <v>4.5861134701916182E-4</v>
      </c>
      <c r="AP72" s="54">
        <f>1.013*10^5*50*10^(-6)*(Z72*10^(-6))/(8.3145*(273.15+25))/3*12.011*10^6</f>
        <v>2.6002706249070214E-4</v>
      </c>
      <c r="AZ72" s="18">
        <v>69</v>
      </c>
      <c r="BA72">
        <f>C72-B72</f>
        <v>729.57143843515996</v>
      </c>
      <c r="BB72">
        <f>('7-24-13 Final'!S87-'7-24-13 Initial'!S87)*60</f>
        <v>135.99999999999909</v>
      </c>
      <c r="BC72">
        <f>BD72/60</f>
        <v>8.940826451411335E-2</v>
      </c>
      <c r="BD72">
        <f>BA72/BB72</f>
        <v>5.3644958708468007</v>
      </c>
      <c r="BE72">
        <f>BD72/3</f>
        <v>1.7881652902822669</v>
      </c>
      <c r="BF72" s="48">
        <f>D72-B72</f>
        <v>21968.28279756047</v>
      </c>
      <c r="BG72">
        <f>('7-29-13 Final #2'!S87-'7-24-13 Initial'!S87)*60</f>
        <v>6811.9999999999982</v>
      </c>
      <c r="BH72">
        <f>BI72/60</f>
        <v>5.3748979246331173E-2</v>
      </c>
      <c r="BI72">
        <f>BF72/BG72</f>
        <v>3.2249387547798705</v>
      </c>
      <c r="BJ72">
        <f>BI72/3</f>
        <v>1.0749795849266235</v>
      </c>
      <c r="BK72" s="48">
        <f>G72-F72</f>
        <v>6424.595921534843</v>
      </c>
      <c r="BL72">
        <f>60*('8-1-13 Final #1'!S87-'7-30-13 Initial + cap'!S87)</f>
        <v>2760</v>
      </c>
      <c r="BM72">
        <f>BN72/60</f>
        <v>3.8795869091393979E-2</v>
      </c>
      <c r="BN72">
        <f>BK72/BL72</f>
        <v>2.3277521454836387</v>
      </c>
      <c r="BO72">
        <f>BN72/3</f>
        <v>0.77591738182787962</v>
      </c>
      <c r="BP72" s="48">
        <f>H72-F72</f>
        <v>18124.366031358491</v>
      </c>
      <c r="BQ72">
        <f>('8-5-13 final 1'!S87-'7-30-13 Initial + cap'!S87)*60</f>
        <v>8544.9999999999982</v>
      </c>
      <c r="BR72">
        <f>BS72/60</f>
        <v>3.5350821204132035E-2</v>
      </c>
      <c r="BS72">
        <f>BP72/BQ72</f>
        <v>2.1210492722479222</v>
      </c>
      <c r="BT72">
        <f>BS72/3</f>
        <v>0.70701642408264076</v>
      </c>
      <c r="BU72" s="48">
        <f>'8-8-13 Final'!U87-'8-5-13 initial'!U87</f>
        <v>14487.868900324018</v>
      </c>
      <c r="BV72">
        <f>('8-8-13 Final'!S87-'8-5-13 initial'!S87)*60</f>
        <v>4306.9999999999982</v>
      </c>
      <c r="BW72">
        <f>BX72/60</f>
        <v>5.6063264841436512E-2</v>
      </c>
      <c r="BX72">
        <f>BU72/BV72</f>
        <v>3.3637958904861907</v>
      </c>
      <c r="BY72">
        <f>BX72/3</f>
        <v>1.1212652968287302</v>
      </c>
      <c r="BZ72" s="48">
        <v>21885.4803848136</v>
      </c>
      <c r="CA72">
        <v>11475</v>
      </c>
      <c r="CB72">
        <f>CC72/60</f>
        <v>3.17871901013995E-2</v>
      </c>
      <c r="CC72">
        <v>1.9072314060839699</v>
      </c>
      <c r="CD72">
        <v>0.63574380202798997</v>
      </c>
    </row>
    <row r="73" spans="1:82">
      <c r="A73" s="18">
        <v>70</v>
      </c>
      <c r="B73">
        <v>3917.4258892786302</v>
      </c>
      <c r="C73">
        <v>4822.7692498078804</v>
      </c>
      <c r="D73">
        <v>28169.955389665702</v>
      </c>
      <c r="F73">
        <v>31570.8452167416</v>
      </c>
      <c r="G73">
        <v>32168.389709658499</v>
      </c>
      <c r="H73">
        <v>40034.390139291099</v>
      </c>
      <c r="I73">
        <v>39287.514018411901</v>
      </c>
      <c r="J73">
        <v>42635.605405595699</v>
      </c>
      <c r="K73">
        <v>34999.555959567297</v>
      </c>
      <c r="M73">
        <f>C73-B73</f>
        <v>905.34336052925028</v>
      </c>
      <c r="N73">
        <f>D73-B73</f>
        <v>24252.529500387071</v>
      </c>
      <c r="O73">
        <f>(G73-F73)+N73</f>
        <v>24850.073993303969</v>
      </c>
      <c r="P73">
        <f>(H73-F73)+N73</f>
        <v>32716.07442293657</v>
      </c>
      <c r="Q73">
        <f>(J73-I73)+P73</f>
        <v>36064.165810120365</v>
      </c>
      <c r="R73">
        <f>(K73-J73)+Q73</f>
        <v>28428.116364091962</v>
      </c>
      <c r="U73">
        <v>0.109340985571167</v>
      </c>
      <c r="V73">
        <v>5.9329051079766798E-2</v>
      </c>
      <c r="W73">
        <v>3.6083604644740102E-3</v>
      </c>
      <c r="X73">
        <v>1.6505860290485699E-2</v>
      </c>
      <c r="Y73">
        <v>1.29529997956663E-2</v>
      </c>
      <c r="Z73">
        <v>-6.2274283415310301E-3</v>
      </c>
      <c r="AC73" s="54">
        <f>1.013*10^5*50*10^(-6)*(M73*10^(-6))/(8.3145*(273.15+25))/3*12.011*10^6</f>
        <v>7.4059321957343123</v>
      </c>
      <c r="AD73" s="54">
        <f>1.013*10^5*50*10^(-6)*(N73*10^(-6))/(8.3145*(273.15+25))/3*12.011*10^6</f>
        <v>198.39167865539321</v>
      </c>
      <c r="AE73" s="54">
        <f>1.013*10^5*50*10^(-6)*(O73*10^(-6))/(8.3145*(273.15+25))/3*12.011*10^6</f>
        <v>203.27974012622568</v>
      </c>
      <c r="AF73" s="54">
        <f>1.013*10^5*50*10^(-6)*(P73*10^(-6))/(8.3145*(273.15+25))/3*12.011*10^6</f>
        <v>267.62556555915415</v>
      </c>
      <c r="AG73" s="54">
        <f>1.013*10^5*50*10^(-6)*(Q73*10^(-6))/(8.3145*(273.15+25))/3*12.011*10^6</f>
        <v>295.01377966624165</v>
      </c>
      <c r="AH73" s="54">
        <f>1.013*10^5*50*10^(-6)*(R73*10^(-6))/(8.3145*(273.15+25))/3*12.011*10^6</f>
        <v>232.54901004833519</v>
      </c>
      <c r="AK73" s="54">
        <f>1.013*10^5*50*10^(-6)*(U73*10^(-6))/(8.3145*(273.15+25))/3*12.011*10^6</f>
        <v>8.9443625552348006E-4</v>
      </c>
      <c r="AL73" s="54">
        <f>1.013*10^5*50*10^(-6)*(V73*10^(-6))/(8.3145*(273.15+25))/3*12.011*10^6</f>
        <v>4.8532628468954744E-4</v>
      </c>
      <c r="AM73" s="54">
        <f>1.013*10^5*50*10^(-6)*(W73*10^(-6))/(8.3145*(273.15+25))/3*12.011*10^6</f>
        <v>2.9517279413239262E-5</v>
      </c>
      <c r="AN73" s="54">
        <f>1.013*10^5*50*10^(-6)*(X73*10^(-6))/(8.3145*(273.15+25))/3*12.011*10^6</f>
        <v>1.3502201205975613E-4</v>
      </c>
      <c r="AO73" s="54">
        <f>1.013*10^5*50*10^(-6)*(Y73*10^(-6))/(8.3145*(273.15+25))/3*12.011*10^6</f>
        <v>1.059587360998443E-4</v>
      </c>
      <c r="AP73" s="54">
        <f>1.013*10^5*50*10^(-6)*(Z73*10^(-6))/(8.3145*(273.15+25))/3*12.011*10^6</f>
        <v>-5.0941901229840551E-5</v>
      </c>
      <c r="AZ73" s="18">
        <v>70</v>
      </c>
      <c r="BA73">
        <f>C73-B73</f>
        <v>905.34336052925028</v>
      </c>
      <c r="BB73">
        <f>('7-24-13 Final'!S88-'7-24-13 Initial'!S88)*60</f>
        <v>137.99999999999727</v>
      </c>
      <c r="BC73">
        <f>BD73/60</f>
        <v>0.10934098557116764</v>
      </c>
      <c r="BD73">
        <f>BA73/BB73</f>
        <v>6.5604591342700589</v>
      </c>
      <c r="BE73">
        <f>BD73/3</f>
        <v>2.186819711423353</v>
      </c>
      <c r="BF73" s="48">
        <f>D73-B73</f>
        <v>24252.529500387071</v>
      </c>
      <c r="BG73">
        <f>('7-29-13 Final #2'!S88-'7-24-13 Initial'!S88)*60</f>
        <v>6812.9999999999973</v>
      </c>
      <c r="BH73">
        <f>BI73/60</f>
        <v>5.9329051079766819E-2</v>
      </c>
      <c r="BI73">
        <f>BF73/BG73</f>
        <v>3.5597430647860091</v>
      </c>
      <c r="BJ73">
        <f>BI73/3</f>
        <v>1.1865810215953363</v>
      </c>
      <c r="BK73" s="48">
        <f>G73-F73</f>
        <v>597.54449291689889</v>
      </c>
      <c r="BL73">
        <f>60*('8-1-13 Final #1'!S88-'7-30-13 Initial + cap'!S88)</f>
        <v>2760</v>
      </c>
      <c r="BM73">
        <f>BN73/60</f>
        <v>3.6083604644740271E-3</v>
      </c>
      <c r="BN73">
        <f>BK73/BL73</f>
        <v>0.21650162786844163</v>
      </c>
      <c r="BO73">
        <f>BN73/3</f>
        <v>7.2167209289480547E-2</v>
      </c>
      <c r="BP73" s="48">
        <f>H73-F73</f>
        <v>8463.5449225494995</v>
      </c>
      <c r="BQ73">
        <f>('8-5-13 final 1'!S88-'7-30-13 Initial + cap'!S88)*60</f>
        <v>8546.0000000000036</v>
      </c>
      <c r="BR73">
        <f>BS73/60</f>
        <v>1.6505860290485796E-2</v>
      </c>
      <c r="BS73">
        <f>BP73/BQ73</f>
        <v>0.99035161742914768</v>
      </c>
      <c r="BT73">
        <f>BS73/3</f>
        <v>0.33011720580971587</v>
      </c>
      <c r="BU73" s="48">
        <f>'8-8-13 Final'!U88-'8-5-13 initial'!U88</f>
        <v>3348.0913871838129</v>
      </c>
      <c r="BV73">
        <f>('8-8-13 Final'!S88-'8-5-13 initial'!S88)*60</f>
        <v>4307.9999999999973</v>
      </c>
      <c r="BW73">
        <f>BX73/60</f>
        <v>1.295299979566626E-2</v>
      </c>
      <c r="BX73">
        <f>BU73/BV73</f>
        <v>0.77717998773997565</v>
      </c>
      <c r="BY73">
        <f>BX73/3</f>
        <v>0.25905999591332524</v>
      </c>
      <c r="BZ73" s="48">
        <v>-4287.9580588445997</v>
      </c>
      <c r="CA73">
        <v>11476</v>
      </c>
      <c r="CB73">
        <f>CC73/60</f>
        <v>-6.2274283415310336E-3</v>
      </c>
      <c r="CC73">
        <v>-0.37364570049186202</v>
      </c>
      <c r="CD73">
        <v>-0.124548566830621</v>
      </c>
    </row>
    <row r="74" spans="1:82">
      <c r="A74">
        <v>71</v>
      </c>
      <c r="B74">
        <v>2250.6300381641499</v>
      </c>
      <c r="C74">
        <v>2668.3278299336498</v>
      </c>
      <c r="D74">
        <v>47577.764099694301</v>
      </c>
      <c r="F74">
        <v>1281.3870466717501</v>
      </c>
      <c r="G74">
        <v>9679.1559285267504</v>
      </c>
      <c r="H74">
        <v>20992.470312363301</v>
      </c>
      <c r="I74">
        <v>1335.43470166619</v>
      </c>
      <c r="J74">
        <v>16640.269747418399</v>
      </c>
      <c r="K74">
        <v>22087.7988886081</v>
      </c>
      <c r="M74">
        <f>C74-B74</f>
        <v>417.69779176949987</v>
      </c>
      <c r="N74">
        <f>D74-B74</f>
        <v>45327.134061530152</v>
      </c>
      <c r="O74">
        <f>(G74-F74)+N74</f>
        <v>53724.902943385154</v>
      </c>
      <c r="P74">
        <f>(H74-F74)+N74</f>
        <v>65038.217327221704</v>
      </c>
      <c r="Q74">
        <f>(J74-I74)+P74</f>
        <v>80343.052372973907</v>
      </c>
      <c r="R74">
        <f>(K74-J74)+Q74</f>
        <v>85790.581514163612</v>
      </c>
      <c r="U74">
        <v>5.0446593208875602E-2</v>
      </c>
      <c r="V74">
        <v>0.110770122340005</v>
      </c>
      <c r="W74">
        <v>5.1838079517623502E-2</v>
      </c>
      <c r="X74">
        <v>3.8681037846249003E-2</v>
      </c>
      <c r="Y74">
        <v>5.9348670101412197E-2</v>
      </c>
      <c r="Z74">
        <v>3.01650738225216E-2</v>
      </c>
      <c r="AC74" s="54">
        <f>1.013*10^5*50*10^(-6)*(M74*10^(-6))/(8.3145*(273.15+25))/3*12.011*10^6</f>
        <v>3.4168710557997422</v>
      </c>
      <c r="AD74" s="54">
        <f>1.013*10^5*50*10^(-6)*(N74*10^(-6))/(8.3145*(273.15+25))/3*12.011*10^6</f>
        <v>370.78714675768134</v>
      </c>
      <c r="AE74" s="54">
        <f>1.013*10^5*50*10^(-6)*(O74*10^(-6))/(8.3145*(273.15+25))/3*12.011*10^6</f>
        <v>439.48296941010398</v>
      </c>
      <c r="AF74" s="54">
        <f>1.013*10^5*50*10^(-6)*(P74*10^(-6))/(8.3145*(273.15+25))/3*12.011*10^6</f>
        <v>532.02867404391225</v>
      </c>
      <c r="AG74" s="54">
        <f>1.013*10^5*50*10^(-6)*(Q74*10^(-6))/(8.3145*(273.15+25))/3*12.011*10^6</f>
        <v>657.22600309869017</v>
      </c>
      <c r="AH74" s="54">
        <f>1.013*10^5*50*10^(-6)*(R74*10^(-6))/(8.3145*(273.15+25))/3*12.011*10^6</f>
        <v>701.78813633215543</v>
      </c>
      <c r="AK74" s="54">
        <f>1.013*10^5*50*10^(-6)*(U74*10^(-6))/(8.3145*(273.15+25))/3*12.011*10^6</f>
        <v>4.1266558644923438E-4</v>
      </c>
      <c r="AL74" s="54">
        <f>1.013*10^5*50*10^(-6)*(V74*10^(-6))/(8.3145*(273.15+25))/3*12.011*10^6</f>
        <v>9.0612694711065622E-4</v>
      </c>
      <c r="AM74" s="54">
        <f>1.013*10^5*50*10^(-6)*(W74*10^(-6))/(8.3145*(273.15+25))/3*12.011*10^6</f>
        <v>4.2404828797791772E-4</v>
      </c>
      <c r="AN74" s="54">
        <f>1.013*10^5*50*10^(-6)*(X74*10^(-6))/(8.3145*(273.15+25))/3*12.011*10^6</f>
        <v>3.1642043896195065E-4</v>
      </c>
      <c r="AO74" s="54">
        <f>1.013*10^5*50*10^(-6)*(Y74*10^(-6))/(8.3145*(273.15+25))/3*12.011*10^6</f>
        <v>4.8548677313005198E-4</v>
      </c>
      <c r="AP74" s="54">
        <f>1.013*10^5*50*10^(-6)*(Z74*10^(-6))/(8.3145*(273.15+25))/3*12.011*10^6</f>
        <v>2.4675775086959096E-4</v>
      </c>
      <c r="AZ74">
        <v>71</v>
      </c>
      <c r="BA74">
        <f>C74-B74</f>
        <v>417.69779176949987</v>
      </c>
      <c r="BB74">
        <f>('7-24-13 Final'!S89-'7-24-13 Initial'!S89)*60</f>
        <v>138.00000000000409</v>
      </c>
      <c r="BC74">
        <f>BD74/60</f>
        <v>5.0446593208875304E-2</v>
      </c>
      <c r="BD74">
        <f>BA74/BB74</f>
        <v>3.0267955925325181</v>
      </c>
      <c r="BE74">
        <f>BD74/3</f>
        <v>1.008931864177506</v>
      </c>
      <c r="BF74" s="48">
        <f>D74-B74</f>
        <v>45327.134061530152</v>
      </c>
      <c r="BG74">
        <f>('7-29-13 Final #2'!S89-'7-24-13 Initial'!S89)*60</f>
        <v>6819.9999999999982</v>
      </c>
      <c r="BH74">
        <f>BI74/60</f>
        <v>0.11077012234000529</v>
      </c>
      <c r="BI74">
        <f>BF74/BG74</f>
        <v>6.6462073404003172</v>
      </c>
      <c r="BJ74">
        <f>BI74/3</f>
        <v>2.2154024468001059</v>
      </c>
      <c r="BK74" s="48">
        <f>G74-F74</f>
        <v>8397.7688818549996</v>
      </c>
      <c r="BL74">
        <f>60*('8-1-13 Final #1'!S89-'7-30-13 Initial + cap'!S89)</f>
        <v>2700</v>
      </c>
      <c r="BM74">
        <f>BN74/60</f>
        <v>5.1838079517623453E-2</v>
      </c>
      <c r="BN74">
        <f>BK74/BL74</f>
        <v>3.1102847710574073</v>
      </c>
      <c r="BO74">
        <f>BN74/3</f>
        <v>1.0367615903524692</v>
      </c>
      <c r="BP74" s="48">
        <f>H74-F74</f>
        <v>19711.083265691552</v>
      </c>
      <c r="BQ74">
        <f>('8-5-13 final 1'!S89-'7-30-13 Initial + cap'!S89)*60</f>
        <v>8493.0000000000036</v>
      </c>
      <c r="BR74">
        <f>BS74/60</f>
        <v>3.8681037846248961E-2</v>
      </c>
      <c r="BS74">
        <f>BP74/BQ74</f>
        <v>2.3208622707749376</v>
      </c>
      <c r="BT74">
        <f>BS74/3</f>
        <v>0.77362075692497922</v>
      </c>
      <c r="BU74" s="48">
        <f>'8-8-13 Final'!U89-'8-5-13 initial'!U89</f>
        <v>15304.83504575219</v>
      </c>
      <c r="BV74">
        <f>('8-8-13 Final'!S89-'8-5-13 initial'!S89)*60</f>
        <v>4298</v>
      </c>
      <c r="BW74">
        <f>BX74/60</f>
        <v>5.9348670101412246E-2</v>
      </c>
      <c r="BX74">
        <f>BU74/BV74</f>
        <v>3.5609202060847349</v>
      </c>
      <c r="BY74">
        <f>BX74/3</f>
        <v>1.186973402028245</v>
      </c>
      <c r="BZ74" s="48">
        <v>20752.364186941901</v>
      </c>
      <c r="CA74">
        <v>11466</v>
      </c>
      <c r="CB74">
        <f>CC74/60</f>
        <v>3.0165073822521499E-2</v>
      </c>
      <c r="CC74">
        <v>1.80990442935129</v>
      </c>
      <c r="CD74">
        <v>0.60330147645043197</v>
      </c>
    </row>
    <row r="75" spans="1:82">
      <c r="A75" s="18">
        <v>72</v>
      </c>
      <c r="B75">
        <v>2923.3993781541699</v>
      </c>
      <c r="C75">
        <v>3647.1738726180902</v>
      </c>
      <c r="D75">
        <v>46519.051453321699</v>
      </c>
      <c r="F75">
        <v>1643.00609557956</v>
      </c>
      <c r="G75">
        <v>12031.602605805199</v>
      </c>
      <c r="H75">
        <v>23134.794055292499</v>
      </c>
      <c r="I75">
        <v>1449.2569918402201</v>
      </c>
      <c r="J75">
        <v>17880.362507318699</v>
      </c>
      <c r="K75">
        <v>23133.327029130502</v>
      </c>
      <c r="M75">
        <f>C75-B75</f>
        <v>723.77449446392029</v>
      </c>
      <c r="N75">
        <f>D75-B75</f>
        <v>43595.652075167527</v>
      </c>
      <c r="O75">
        <f>(G75-F75)+N75</f>
        <v>53984.248585393165</v>
      </c>
      <c r="P75">
        <f>(H75-F75)+N75</f>
        <v>65087.440034880463</v>
      </c>
      <c r="Q75">
        <f>(J75-I75)+P75</f>
        <v>81518.545550358947</v>
      </c>
      <c r="R75">
        <f>(K75-J75)+Q75</f>
        <v>86771.510072170757</v>
      </c>
      <c r="U75">
        <v>8.9354875859743402E-2</v>
      </c>
      <c r="V75">
        <v>0.106569991383513</v>
      </c>
      <c r="W75">
        <v>6.4127138952009805E-2</v>
      </c>
      <c r="X75">
        <v>4.2165563978247902E-2</v>
      </c>
      <c r="Y75">
        <v>6.3730918918154203E-2</v>
      </c>
      <c r="Z75">
        <v>3.1522125363120101E-2</v>
      </c>
      <c r="AC75" s="54">
        <f>1.013*10^5*50*10^(-6)*(M75*10^(-6))/(8.3145*(273.15+25))/3*12.011*10^6</f>
        <v>5.9206540465135422</v>
      </c>
      <c r="AD75" s="54">
        <f>1.013*10^5*50*10^(-6)*(N75*10^(-6))/(8.3145*(273.15+25))/3*12.011*10^6</f>
        <v>356.62319664969067</v>
      </c>
      <c r="AE75" s="54">
        <f>1.013*10^5*50*10^(-6)*(O75*10^(-6))/(8.3145*(273.15+25))/3*12.011*10^6</f>
        <v>441.60448078767433</v>
      </c>
      <c r="AF75" s="54">
        <f>1.013*10^5*50*10^(-6)*(P75*10^(-6))/(8.3145*(273.15+25))/3*12.011*10^6</f>
        <v>532.43132794441476</v>
      </c>
      <c r="AG75" s="54">
        <f>1.013*10^5*50*10^(-6)*(Q75*10^(-6))/(8.3145*(273.15+25))/3*12.011*10^6</f>
        <v>666.84182748952969</v>
      </c>
      <c r="AH75" s="54">
        <f>1.013*10^5*50*10^(-6)*(R75*10^(-6))/(8.3145*(273.15+25))/3*12.011*10^6</f>
        <v>709.81237410335143</v>
      </c>
      <c r="AK75" s="54">
        <f>1.013*10^5*50*10^(-6)*(U75*10^(-6))/(8.3145*(273.15+25))/3*12.011*10^6</f>
        <v>7.3094494401401862E-4</v>
      </c>
      <c r="AL75" s="54">
        <f>1.013*10^5*50*10^(-6)*(V75*10^(-6))/(8.3145*(273.15+25))/3*12.011*10^6</f>
        <v>8.7176883897939397E-4</v>
      </c>
      <c r="AM75" s="54">
        <f>1.013*10^5*50*10^(-6)*(W75*10^(-6))/(8.3145*(273.15+25))/3*12.011*10^6</f>
        <v>5.2457582801224221E-4</v>
      </c>
      <c r="AN75" s="54">
        <f>1.013*10^5*50*10^(-6)*(X75*10^(-6))/(8.3145*(273.15+25))/3*12.011*10^6</f>
        <v>3.4492472296394775E-4</v>
      </c>
      <c r="AO75" s="54">
        <f>1.013*10^5*50*10^(-6)*(Y75*10^(-6))/(8.3145*(273.15+25))/3*12.011*10^6</f>
        <v>5.2133465031849874E-4</v>
      </c>
      <c r="AP75" s="54">
        <f>1.013*10^5*50*10^(-6)*(Z75*10^(-6))/(8.3145*(273.15+25))/3*12.011*10^6</f>
        <v>2.5785876749373021E-4</v>
      </c>
      <c r="AZ75" s="18">
        <v>72</v>
      </c>
      <c r="BA75">
        <f>C75-B75</f>
        <v>723.77449446392029</v>
      </c>
      <c r="BB75">
        <f>('7-24-13 Final'!S90-'7-24-13 Initial'!S90)*60</f>
        <v>135</v>
      </c>
      <c r="BC75">
        <f>BD75/60</f>
        <v>8.9354875859743249E-2</v>
      </c>
      <c r="BD75">
        <f>BA75/BB75</f>
        <v>5.3612925515845946</v>
      </c>
      <c r="BE75">
        <f>BD75/3</f>
        <v>1.7870975171948649</v>
      </c>
      <c r="BF75" s="48">
        <f>D75-B75</f>
        <v>43595.652075167527</v>
      </c>
      <c r="BG75">
        <f>('7-29-13 Final #2'!S90-'7-24-13 Initial'!S90)*60</f>
        <v>6818</v>
      </c>
      <c r="BH75">
        <f>BI75/60</f>
        <v>0.10656999138351307</v>
      </c>
      <c r="BI75">
        <f>BF75/BG75</f>
        <v>6.3941994830107847</v>
      </c>
      <c r="BJ75">
        <f>BI75/3</f>
        <v>2.1313998276702617</v>
      </c>
      <c r="BK75" s="48">
        <f>G75-F75</f>
        <v>10388.59651022564</v>
      </c>
      <c r="BL75">
        <f>60*('8-1-13 Final #1'!S90-'7-30-13 Initial + cap'!S90)</f>
        <v>2700</v>
      </c>
      <c r="BM75">
        <f>BN75/60</f>
        <v>6.4127138952010124E-2</v>
      </c>
      <c r="BN75">
        <f>BK75/BL75</f>
        <v>3.8476283371206073</v>
      </c>
      <c r="BO75">
        <f>BN75/3</f>
        <v>1.2825427790402024</v>
      </c>
      <c r="BP75" s="48">
        <f>H75-F75</f>
        <v>21491.787959712939</v>
      </c>
      <c r="BQ75">
        <f>('8-5-13 final 1'!S90-'7-30-13 Initial + cap'!S90)*60</f>
        <v>8495.0000000000018</v>
      </c>
      <c r="BR75">
        <f>BS75/60</f>
        <v>4.2165563978247861E-2</v>
      </c>
      <c r="BS75">
        <f>BP75/BQ75</f>
        <v>2.5299338386948715</v>
      </c>
      <c r="BT75">
        <f>BS75/3</f>
        <v>0.84331127956495722</v>
      </c>
      <c r="BU75" s="48">
        <f>'8-8-13 Final'!U90-'8-5-13 initial'!U90</f>
        <v>16431.105515478514</v>
      </c>
      <c r="BV75">
        <f>('8-8-13 Final'!S90-'8-5-13 initial'!S90)*60</f>
        <v>4297</v>
      </c>
      <c r="BW75">
        <f>BX75/60</f>
        <v>6.3730918918154189E-2</v>
      </c>
      <c r="BX75">
        <f>BU75/BV75</f>
        <v>3.8238551350892513</v>
      </c>
      <c r="BY75">
        <f>BX75/3</f>
        <v>1.2746183783630838</v>
      </c>
      <c r="BZ75" s="48">
        <v>21684.070037290301</v>
      </c>
      <c r="CA75">
        <v>11465</v>
      </c>
      <c r="CB75">
        <f>CC75/60</f>
        <v>3.1522125363120171E-2</v>
      </c>
      <c r="CC75">
        <v>1.8913275217872101</v>
      </c>
      <c r="CD75">
        <v>0.63044250726240203</v>
      </c>
    </row>
    <row r="76" spans="1:82">
      <c r="A76" s="18">
        <v>73</v>
      </c>
      <c r="B76">
        <v>2383.7075858525</v>
      </c>
      <c r="C76">
        <v>2992.9851048374499</v>
      </c>
      <c r="D76">
        <v>42294.116039463101</v>
      </c>
      <c r="F76">
        <v>1405.9377695671401</v>
      </c>
      <c r="G76">
        <v>11638.344972745201</v>
      </c>
      <c r="H76">
        <v>12309.9358957069</v>
      </c>
      <c r="I76">
        <v>1365.23464846973</v>
      </c>
      <c r="J76">
        <v>18049.636992305099</v>
      </c>
      <c r="K76">
        <v>19763.631899303498</v>
      </c>
      <c r="M76">
        <f>C76-B76</f>
        <v>609.27751898494989</v>
      </c>
      <c r="N76">
        <f>D76-B76</f>
        <v>39910.408453610602</v>
      </c>
      <c r="O76">
        <f>(G76-F76)+N76</f>
        <v>50142.815656788662</v>
      </c>
      <c r="P76">
        <f>(H76-F76)+N76</f>
        <v>50814.406579750357</v>
      </c>
      <c r="Q76">
        <f>(J76-I76)+P76</f>
        <v>67498.808923585719</v>
      </c>
      <c r="R76">
        <f>(K76-J76)+Q76</f>
        <v>69212.803830584118</v>
      </c>
      <c r="U76">
        <v>7.5780785943400597E-2</v>
      </c>
      <c r="V76">
        <v>9.75756893394224E-2</v>
      </c>
      <c r="W76">
        <v>6.3163007427025006E-2</v>
      </c>
      <c r="X76">
        <v>2.1392972584147098E-2</v>
      </c>
      <c r="Y76">
        <v>6.4743509289233406E-2</v>
      </c>
      <c r="Z76">
        <v>2.6750410379530999E-2</v>
      </c>
      <c r="AC76" s="54">
        <f>1.013*10^5*50*10^(-6)*(M76*10^(-6))/(8.3145*(273.15+25))/3*12.011*10^6</f>
        <v>4.9840405206594314</v>
      </c>
      <c r="AD76" s="54">
        <f>1.013*10^5*50*10^(-6)*(N76*10^(-6))/(8.3145*(273.15+25))/3*12.011*10^6</f>
        <v>326.47699403098687</v>
      </c>
      <c r="AE76" s="54">
        <f>1.013*10^5*50*10^(-6)*(O76*10^(-6))/(8.3145*(273.15+25))/3*12.011*10^6</f>
        <v>410.18061107809257</v>
      </c>
      <c r="AF76" s="54">
        <f>1.013*10^5*50*10^(-6)*(P76*10^(-6))/(8.3145*(273.15+25))/3*12.011*10^6</f>
        <v>415.6743906269009</v>
      </c>
      <c r="AG76" s="54">
        <f>1.013*10^5*50*10^(-6)*(Q76*10^(-6))/(8.3145*(273.15+25))/3*12.011*10^6</f>
        <v>552.15692076061941</v>
      </c>
      <c r="AH76" s="54">
        <f>1.013*10^5*50*10^(-6)*(R76*10^(-6))/(8.3145*(273.15+25))/3*12.011*10^6</f>
        <v>566.1778222422887</v>
      </c>
      <c r="AK76" s="54">
        <f>1.013*10^5*50*10^(-6)*(U76*10^(-6))/(8.3145*(273.15+25))/3*12.011*10^6</f>
        <v>6.199055373954424E-4</v>
      </c>
      <c r="AL76" s="54">
        <f>1.013*10^5*50*10^(-6)*(V76*10^(-6))/(8.3145*(273.15+25))/3*12.011*10^6</f>
        <v>7.9819322779078395E-4</v>
      </c>
      <c r="AM76" s="54">
        <f>1.013*10^5*50*10^(-6)*(W76*10^(-6))/(8.3145*(273.15+25))/3*12.011*10^6</f>
        <v>5.1668899411793571E-4</v>
      </c>
      <c r="AN76" s="54">
        <f>1.013*10^5*50*10^(-6)*(X76*10^(-6))/(8.3145*(273.15+25))/3*12.011*10^6</f>
        <v>1.7499979712755364E-4</v>
      </c>
      <c r="AO76" s="54">
        <f>1.013*10^5*50*10^(-6)*(Y76*10^(-6))/(8.3145*(273.15+25))/3*12.011*10^6</f>
        <v>5.296178895371331E-4</v>
      </c>
      <c r="AP76" s="54">
        <f>1.013*10^5*50*10^(-6)*(Z76*10^(-6))/(8.3145*(273.15+25))/3*12.011*10^6</f>
        <v>2.1882496091103027E-4</v>
      </c>
      <c r="AZ76" s="18">
        <v>73</v>
      </c>
      <c r="BA76">
        <f>C76-B76</f>
        <v>609.27751898494989</v>
      </c>
      <c r="BB76">
        <f>('7-24-13 Final'!S91-'7-24-13 Initial'!S91)*60</f>
        <v>134.00000000000091</v>
      </c>
      <c r="BC76">
        <f>BD76/60</f>
        <v>7.5780785943401208E-2</v>
      </c>
      <c r="BD76">
        <f>BA76/BB76</f>
        <v>4.5468471566040725</v>
      </c>
      <c r="BE76">
        <f>BD76/3</f>
        <v>1.5156157188680242</v>
      </c>
      <c r="BF76" s="48">
        <f>D76-B76</f>
        <v>39910.408453610602</v>
      </c>
      <c r="BG76">
        <f>('7-29-13 Final #2'!S91-'7-24-13 Initial'!S91)*60</f>
        <v>6817</v>
      </c>
      <c r="BH76">
        <f>BI76/60</f>
        <v>9.7575689339422539E-2</v>
      </c>
      <c r="BI76">
        <f>BF76/BG76</f>
        <v>5.854541360365352</v>
      </c>
      <c r="BJ76">
        <f>BI76/3</f>
        <v>1.9515137867884507</v>
      </c>
      <c r="BK76" s="48">
        <f>G76-F76</f>
        <v>10232.40720317806</v>
      </c>
      <c r="BL76">
        <f>60*('8-1-13 Final #1'!S91-'7-30-13 Initial + cap'!S91)</f>
        <v>2700</v>
      </c>
      <c r="BM76">
        <f>BN76/60</f>
        <v>6.3163007427025061E-2</v>
      </c>
      <c r="BN76">
        <f>BK76/BL76</f>
        <v>3.7897804456215036</v>
      </c>
      <c r="BO76">
        <f>BN76/3</f>
        <v>1.2632601485405013</v>
      </c>
      <c r="BP76" s="48">
        <f>H76-F76</f>
        <v>10903.998126139759</v>
      </c>
      <c r="BQ76">
        <f>('8-5-13 final 1'!S91-'7-30-13 Initial + cap'!S91)*60</f>
        <v>8495.0000000000018</v>
      </c>
      <c r="BR76">
        <f>BS76/60</f>
        <v>2.139297258414706E-2</v>
      </c>
      <c r="BS76">
        <f>BP76/BQ76</f>
        <v>1.2835783550488236</v>
      </c>
      <c r="BT76">
        <f>BS76/3</f>
        <v>0.42785945168294121</v>
      </c>
      <c r="BU76" s="48">
        <f>'8-8-13 Final'!U91-'8-5-13 initial'!U91</f>
        <v>16684.402343835416</v>
      </c>
      <c r="BV76">
        <f>('8-8-13 Final'!S91-'8-5-13 initial'!S91)*60</f>
        <v>4294.9999999999955</v>
      </c>
      <c r="BW76">
        <f>BX76/60</f>
        <v>6.474350928923335E-2</v>
      </c>
      <c r="BX76">
        <f>BU76/BV76</f>
        <v>3.8846105573540011</v>
      </c>
      <c r="BY76">
        <f>BX76/3</f>
        <v>1.2948701857846669</v>
      </c>
      <c r="BZ76" s="48">
        <v>18398.397250833801</v>
      </c>
      <c r="CA76">
        <v>11463</v>
      </c>
      <c r="CB76">
        <f>CC76/60</f>
        <v>2.6750410379531003E-2</v>
      </c>
      <c r="CC76">
        <v>1.6050246227718601</v>
      </c>
      <c r="CD76">
        <v>0.53500820759061896</v>
      </c>
    </row>
    <row r="77" spans="1:82">
      <c r="A77">
        <v>74</v>
      </c>
      <c r="B77">
        <v>2322.6167371216802</v>
      </c>
      <c r="C77">
        <v>2802.9689587408202</v>
      </c>
      <c r="D77">
        <v>45937.023822137198</v>
      </c>
      <c r="F77">
        <v>1499.29904915273</v>
      </c>
      <c r="G77">
        <v>11198.7748154528</v>
      </c>
      <c r="H77">
        <v>22633.400291876798</v>
      </c>
      <c r="I77">
        <v>1426.03447134474</v>
      </c>
      <c r="J77">
        <v>13771.0455073099</v>
      </c>
      <c r="K77">
        <v>12624.065936093501</v>
      </c>
      <c r="M77">
        <f>C77-B77</f>
        <v>480.35222161913998</v>
      </c>
      <c r="N77">
        <f>D77-B77</f>
        <v>43614.407085015519</v>
      </c>
      <c r="O77">
        <f>(G77-F77)+N77</f>
        <v>53313.88285131559</v>
      </c>
      <c r="P77">
        <f>(H77-F77)+N77</f>
        <v>64748.50832773959</v>
      </c>
      <c r="Q77">
        <f>(J77-I77)+P77</f>
        <v>77093.519363704749</v>
      </c>
      <c r="R77">
        <f>(K77-J77)+Q77</f>
        <v>75946.539792488344</v>
      </c>
      <c r="U77">
        <v>6.0650533032718099E-2</v>
      </c>
      <c r="V77">
        <v>0.10666277105653101</v>
      </c>
      <c r="W77">
        <v>5.98733071993829E-2</v>
      </c>
      <c r="X77">
        <v>4.1449166946583703E-2</v>
      </c>
      <c r="Y77">
        <v>4.7915739155275298E-2</v>
      </c>
      <c r="Z77">
        <v>1.6281414790701599E-2</v>
      </c>
      <c r="AC77" s="54">
        <f>1.013*10^5*50*10^(-6)*(M77*10^(-6))/(8.3145*(273.15+25))/3*12.011*10^6</f>
        <v>3.9293997597796002</v>
      </c>
      <c r="AD77" s="54">
        <f>1.013*10^5*50*10^(-6)*(N77*10^(-6))/(8.3145*(273.15+25))/3*12.011*10^6</f>
        <v>356.77661726038951</v>
      </c>
      <c r="AE77" s="54">
        <f>1.013*10^5*50*10^(-6)*(O77*10^(-6))/(8.3145*(273.15+25))/3*12.011*10^6</f>
        <v>436.1207235864066</v>
      </c>
      <c r="AF77" s="54">
        <f>1.013*10^5*50*10^(-6)*(P77*10^(-6))/(8.3145*(273.15+25))/3*12.011*10^6</f>
        <v>529.65878290625096</v>
      </c>
      <c r="AG77" s="54">
        <f>1.013*10^5*50*10^(-6)*(Q77*10^(-6))/(8.3145*(273.15+25))/3*12.011*10^6</f>
        <v>630.6440208545398</v>
      </c>
      <c r="AH77" s="54">
        <f>1.013*10^5*50*10^(-6)*(R77*10^(-6))/(8.3145*(273.15+25))/3*12.011*10^6</f>
        <v>621.26144480145501</v>
      </c>
      <c r="AK77" s="54">
        <f>1.013*10^5*50*10^(-6)*(U77*10^(-6))/(8.3145*(273.15+25))/3*12.011*10^6</f>
        <v>4.9613633330549214E-4</v>
      </c>
      <c r="AL77" s="54">
        <f>1.013*10^5*50*10^(-6)*(V77*10^(-6))/(8.3145*(273.15+25))/3*12.011*10^6</f>
        <v>8.7252779960965909E-4</v>
      </c>
      <c r="AM77" s="54">
        <f>1.013*10^5*50*10^(-6)*(W77*10^(-6))/(8.3145*(273.15+25))/3*12.011*10^6</f>
        <v>4.8977843411121449E-4</v>
      </c>
      <c r="AN77" s="54">
        <f>1.013*10^5*50*10^(-6)*(X77*10^(-6))/(8.3145*(273.15+25))/3*12.011*10^6</f>
        <v>3.3906441838444675E-4</v>
      </c>
      <c r="AO77" s="54">
        <f>1.013*10^5*50*10^(-6)*(Y77*10^(-6))/(8.3145*(273.15+25))/3*12.011*10^6</f>
        <v>3.9196257548629315E-4</v>
      </c>
      <c r="AP77" s="54">
        <f>1.013*10^5*50*10^(-6)*(Z77*10^(-6))/(8.3145*(273.15+25))/3*12.011*10^6</f>
        <v>1.3318599246154859E-4</v>
      </c>
      <c r="AZ77">
        <v>74</v>
      </c>
      <c r="BA77">
        <f>C77-B77</f>
        <v>480.35222161913998</v>
      </c>
      <c r="BB77">
        <f>('7-24-13 Final'!S92-'7-24-13 Initial'!S92)*60</f>
        <v>132.00000000000273</v>
      </c>
      <c r="BC77">
        <f>BD77/60</f>
        <v>6.0650533032718439E-2</v>
      </c>
      <c r="BD77">
        <f>BA77/BB77</f>
        <v>3.6390319819631065</v>
      </c>
      <c r="BE77">
        <f>BD77/3</f>
        <v>1.2130106606543689</v>
      </c>
      <c r="BF77" s="48">
        <f>D77-B77</f>
        <v>43614.407085015519</v>
      </c>
      <c r="BG77">
        <f>('7-29-13 Final #2'!S92-'7-24-13 Initial'!S92)*60</f>
        <v>6815.0000000000018</v>
      </c>
      <c r="BH77">
        <f>BI77/60</f>
        <v>0.10666277105653095</v>
      </c>
      <c r="BI77">
        <f>BF77/BG77</f>
        <v>6.3997662633918573</v>
      </c>
      <c r="BJ77">
        <f>BI77/3</f>
        <v>2.1332554211306189</v>
      </c>
      <c r="BK77" s="48">
        <f>G77-F77</f>
        <v>9699.4757663000692</v>
      </c>
      <c r="BL77">
        <f>60*('8-1-13 Final #1'!S92-'7-30-13 Initial + cap'!S92)</f>
        <v>2700</v>
      </c>
      <c r="BM77">
        <f>BN77/60</f>
        <v>5.9873307199383143E-2</v>
      </c>
      <c r="BN77">
        <f>BK77/BL77</f>
        <v>3.5923984319629887</v>
      </c>
      <c r="BO77">
        <f>BN77/3</f>
        <v>1.1974661439876628</v>
      </c>
      <c r="BP77" s="48">
        <f>H77-F77</f>
        <v>21134.101242724068</v>
      </c>
      <c r="BQ77">
        <f>('8-5-13 final 1'!S92-'7-30-13 Initial + cap'!S92)*60</f>
        <v>8498</v>
      </c>
      <c r="BR77">
        <f>BS77/60</f>
        <v>4.144916694658364E-2</v>
      </c>
      <c r="BS77">
        <f>BP77/BQ77</f>
        <v>2.4869500167950185</v>
      </c>
      <c r="BT77">
        <f>BS77/3</f>
        <v>0.82898333893167286</v>
      </c>
      <c r="BU77" s="48">
        <f>'8-8-13 Final'!U92-'8-5-13 initial'!U92</f>
        <v>12345.011035965123</v>
      </c>
      <c r="BV77">
        <f>('8-8-13 Final'!S92-'8-5-13 initial'!S92)*60</f>
        <v>4293.9999999999964</v>
      </c>
      <c r="BW77">
        <f>BX77/60</f>
        <v>4.7915739155275319E-2</v>
      </c>
      <c r="BX77">
        <f>BU77/BV77</f>
        <v>2.874944349316519</v>
      </c>
      <c r="BY77">
        <f>BX77/3</f>
        <v>0.95831478310550633</v>
      </c>
      <c r="BZ77" s="48">
        <v>11198.031464748799</v>
      </c>
      <c r="CA77">
        <v>11463</v>
      </c>
      <c r="CB77">
        <f>CC77/60</f>
        <v>1.6281414790701599E-2</v>
      </c>
      <c r="CC77">
        <v>0.97688488744209601</v>
      </c>
      <c r="CD77">
        <v>0.32562829581403202</v>
      </c>
    </row>
    <row r="78" spans="1:82">
      <c r="A78" s="18">
        <v>75</v>
      </c>
      <c r="B78">
        <v>2593.74177553247</v>
      </c>
      <c r="C78">
        <v>3187.1603952389501</v>
      </c>
      <c r="D78">
        <v>44615.030252453602</v>
      </c>
      <c r="F78">
        <v>1117.74364879221</v>
      </c>
      <c r="G78">
        <v>11919.431130043</v>
      </c>
      <c r="H78">
        <v>24627.7273212127</v>
      </c>
      <c r="I78">
        <v>1392.2394218510599</v>
      </c>
      <c r="J78">
        <v>19078.993313168201</v>
      </c>
      <c r="K78">
        <v>12630.926479497801</v>
      </c>
      <c r="M78">
        <f>C78-B78</f>
        <v>593.41861970648006</v>
      </c>
      <c r="N78">
        <f>D78-B78</f>
        <v>42021.28847692113</v>
      </c>
      <c r="O78">
        <f>(G78-F78)+N78</f>
        <v>52822.975958171919</v>
      </c>
      <c r="P78">
        <f>(H78-F78)+N78</f>
        <v>65531.272149341617</v>
      </c>
      <c r="Q78">
        <f>(J78-I78)+P78</f>
        <v>83218.026040658762</v>
      </c>
      <c r="R78">
        <f>(K78-J78)+Q78</f>
        <v>76769.959206988366</v>
      </c>
      <c r="U78">
        <v>7.3808286033143905E-2</v>
      </c>
      <c r="V78">
        <v>0.10273651282803101</v>
      </c>
      <c r="W78">
        <v>6.6677083217597299E-2</v>
      </c>
      <c r="X78">
        <v>4.6108856343493501E-2</v>
      </c>
      <c r="Y78">
        <v>6.8665090035395296E-2</v>
      </c>
      <c r="Z78">
        <v>1.6343377625057099E-2</v>
      </c>
      <c r="AC78" s="54">
        <f>1.013*10^5*50*10^(-6)*(M78*10^(-6))/(8.3145*(273.15+25))/3*12.011*10^6</f>
        <v>4.8543108093964387</v>
      </c>
      <c r="AD78" s="54">
        <f>1.013*10^5*50*10^(-6)*(N78*10^(-6))/(8.3145*(273.15+25))/3*12.011*10^6</f>
        <v>343.74451374508641</v>
      </c>
      <c r="AE78" s="54">
        <f>1.013*10^5*50*10^(-6)*(O78*10^(-6))/(8.3145*(273.15+25))/3*12.011*10^6</f>
        <v>432.10498400787219</v>
      </c>
      <c r="AF78" s="54">
        <f>1.013*10^5*50*10^(-6)*(P78*10^(-6))/(8.3145*(273.15+25))/3*12.011*10^6</f>
        <v>536.0619842117419</v>
      </c>
      <c r="AG78" s="54">
        <f>1.013*10^5*50*10^(-6)*(Q78*10^(-6))/(8.3145*(273.15+25))/3*12.011*10^6</f>
        <v>680.74399745935864</v>
      </c>
      <c r="AH78" s="54">
        <f>1.013*10^5*50*10^(-6)*(R78*10^(-6))/(8.3145*(273.15+25))/3*12.011*10^6</f>
        <v>627.99721889369937</v>
      </c>
      <c r="AK78" s="54">
        <f>1.013*10^5*50*10^(-6)*(U78*10^(-6))/(8.3145*(273.15+25))/3*12.011*10^6</f>
        <v>6.0377000116870814E-4</v>
      </c>
      <c r="AL78" s="54">
        <f>1.013*10^5*50*10^(-6)*(V78*10^(-6))/(8.3145*(273.15+25))/3*12.011*10^6</f>
        <v>8.4041003800568973E-4</v>
      </c>
      <c r="AM78" s="54">
        <f>1.013*10^5*50*10^(-6)*(W78*10^(-6))/(8.3145*(273.15+25))/3*12.011*10^6</f>
        <v>5.45435001622134E-4</v>
      </c>
      <c r="AN78" s="54">
        <f>1.013*10^5*50*10^(-6)*(X78*10^(-6))/(8.3145*(273.15+25))/3*12.011*10^6</f>
        <v>3.7718182801179789E-4</v>
      </c>
      <c r="AO78" s="54">
        <f>1.013*10^5*50*10^(-6)*(Y78*10^(-6))/(8.3145*(273.15+25))/3*12.011*10^6</f>
        <v>5.6169738818082331E-4</v>
      </c>
      <c r="AP78" s="54">
        <f>1.013*10^5*50*10^(-6)*(Z78*10^(-6))/(8.3145*(273.15+25))/3*12.011*10^6</f>
        <v>1.336928637436488E-4</v>
      </c>
      <c r="AZ78" s="18">
        <v>75</v>
      </c>
      <c r="BA78">
        <f>C78-B78</f>
        <v>593.41861970648006</v>
      </c>
      <c r="BB78">
        <f>('7-24-13 Final'!S93-'7-24-13 Initial'!S93)*60</f>
        <v>134.00000000000091</v>
      </c>
      <c r="BC78">
        <f>BD78/60</f>
        <v>7.380828603314378E-2</v>
      </c>
      <c r="BD78">
        <f>BA78/BB78</f>
        <v>4.4284971619886271</v>
      </c>
      <c r="BE78">
        <f>BD78/3</f>
        <v>1.4761657206628758</v>
      </c>
      <c r="BF78" s="48">
        <f>D78-B78</f>
        <v>42021.28847692113</v>
      </c>
      <c r="BG78">
        <f>('7-29-13 Final #2'!S93-'7-24-13 Initial'!S93)*60</f>
        <v>6817</v>
      </c>
      <c r="BH78">
        <f>BI78/60</f>
        <v>0.10273651282803073</v>
      </c>
      <c r="BI78">
        <f>BF78/BG78</f>
        <v>6.1641907696818441</v>
      </c>
      <c r="BJ78">
        <f>BI78/3</f>
        <v>2.0547302565606147</v>
      </c>
      <c r="BK78" s="48">
        <f>G78-F78</f>
        <v>10801.68748125079</v>
      </c>
      <c r="BL78">
        <f>60*('8-1-13 Final #1'!S93-'7-30-13 Initial + cap'!S93)</f>
        <v>2700</v>
      </c>
      <c r="BM78">
        <f>BN78/60</f>
        <v>6.667708321759748E-2</v>
      </c>
      <c r="BN78">
        <f>BK78/BL78</f>
        <v>4.0006249930558484</v>
      </c>
      <c r="BO78">
        <f>BN78/3</f>
        <v>1.3335416643519495</v>
      </c>
      <c r="BP78" s="48">
        <f>H78-F78</f>
        <v>23509.983672420491</v>
      </c>
      <c r="BQ78">
        <f>('8-5-13 final 1'!S93-'7-30-13 Initial + cap'!S93)*60</f>
        <v>8498</v>
      </c>
      <c r="BR78">
        <f>BS78/60</f>
        <v>4.610885634349355E-2</v>
      </c>
      <c r="BS78">
        <f>BP78/BQ78</f>
        <v>2.7665313806096128</v>
      </c>
      <c r="BT78">
        <f>BS78/3</f>
        <v>0.92217712686987097</v>
      </c>
      <c r="BU78" s="48">
        <f>'8-8-13 Final'!U93-'8-5-13 initial'!U93</f>
        <v>17686.753891317141</v>
      </c>
      <c r="BV78">
        <f>('8-8-13 Final'!S93-'8-5-13 initial'!S93)*60</f>
        <v>4293.0000000000036</v>
      </c>
      <c r="BW78">
        <f>BX78/60</f>
        <v>6.8665090035395324E-2</v>
      </c>
      <c r="BX78">
        <f>BU78/BV78</f>
        <v>4.1199054021237194</v>
      </c>
      <c r="BY78">
        <f>BX78/3</f>
        <v>1.3733018007079065</v>
      </c>
      <c r="BZ78" s="48">
        <v>11238.687057646701</v>
      </c>
      <c r="CA78">
        <v>11461</v>
      </c>
      <c r="CB78">
        <f>CC78/60</f>
        <v>1.634337762505705E-2</v>
      </c>
      <c r="CC78">
        <v>0.98060265750342301</v>
      </c>
      <c r="CD78">
        <v>0.32686755250114102</v>
      </c>
    </row>
    <row r="79" spans="1:82">
      <c r="A79" s="18">
        <v>76</v>
      </c>
      <c r="B79">
        <v>2047.7161727216801</v>
      </c>
      <c r="C79">
        <v>2490.80992169402</v>
      </c>
      <c r="D79">
        <v>15169.4110031204</v>
      </c>
      <c r="F79">
        <v>1858.25266940038</v>
      </c>
      <c r="G79">
        <v>7090.2226479643195</v>
      </c>
      <c r="H79">
        <v>13748.0979762181</v>
      </c>
      <c r="I79">
        <v>1160.0641463679599</v>
      </c>
      <c r="J79">
        <v>10349.2071958742</v>
      </c>
      <c r="K79">
        <v>10330.9002406202</v>
      </c>
      <c r="M79">
        <f>C79-B79</f>
        <v>443.09374897233988</v>
      </c>
      <c r="N79">
        <f>D79-B79</f>
        <v>13121.694830398719</v>
      </c>
      <c r="O79">
        <f>(G79-F79)+N79</f>
        <v>18353.664808962658</v>
      </c>
      <c r="P79">
        <f>(H79-F79)+N79</f>
        <v>25011.540137216438</v>
      </c>
      <c r="Q79">
        <f>(J79-I79)+P79</f>
        <v>34200.683186722679</v>
      </c>
      <c r="R79">
        <f>(K79-J79)+Q79</f>
        <v>34182.376231468676</v>
      </c>
      <c r="U79">
        <v>5.5946180425799602E-2</v>
      </c>
      <c r="V79">
        <v>3.2076109392780702E-2</v>
      </c>
      <c r="W79">
        <v>3.2296110978789698E-2</v>
      </c>
      <c r="X79">
        <v>2.3313422170230899E-2</v>
      </c>
      <c r="Y79">
        <v>3.5699856447188101E-2</v>
      </c>
      <c r="Z79">
        <v>1.33386218900024E-2</v>
      </c>
      <c r="AC79" s="54">
        <f>1.013*10^5*50*10^(-6)*(M79*10^(-6))/(8.3145*(273.15+25))/3*12.011*10^6</f>
        <v>3.6246162553448675</v>
      </c>
      <c r="AD79" s="54">
        <f>1.013*10^5*50*10^(-6)*(N79*10^(-6))/(8.3145*(273.15+25))/3*12.011*10^6</f>
        <v>107.33870313053528</v>
      </c>
      <c r="AE79" s="54">
        <f>1.013*10^5*50*10^(-6)*(O79*10^(-6))/(8.3145*(273.15+25))/3*12.011*10^6</f>
        <v>150.13750919756245</v>
      </c>
      <c r="AF79" s="54">
        <f>1.013*10^5*50*10^(-6)*(P79*10^(-6))/(8.3145*(273.15+25))/3*12.011*10^6</f>
        <v>204.60057304537733</v>
      </c>
      <c r="AG79" s="54">
        <f>1.013*10^5*50*10^(-6)*(Q79*10^(-6))/(8.3145*(273.15+25))/3*12.011*10^6</f>
        <v>279.77003175965223</v>
      </c>
      <c r="AH79" s="54">
        <f>1.013*10^5*50*10^(-6)*(R79*10^(-6))/(8.3145*(273.15+25))/3*12.011*10^6</f>
        <v>279.6202763461456</v>
      </c>
      <c r="AK79" s="54">
        <f>1.013*10^5*50*10^(-6)*(U79*10^(-6))/(8.3145*(273.15+25))/3*12.011*10^6</f>
        <v>4.5765356759404173E-4</v>
      </c>
      <c r="AL79" s="54">
        <f>1.013*10^5*50*10^(-6)*(V79*10^(-6))/(8.3145*(273.15+25))/3*12.011*10^6</f>
        <v>2.6239049362113858E-4</v>
      </c>
      <c r="AM79" s="54">
        <f>1.013*10^5*50*10^(-6)*(W79*10^(-6))/(8.3145*(273.15+25))/3*12.011*10^6</f>
        <v>2.6419016090757468E-4</v>
      </c>
      <c r="AN79" s="54">
        <f>1.013*10^5*50*10^(-6)*(X79*10^(-6))/(8.3145*(273.15+25))/3*12.011*10^6</f>
        <v>1.9070954885263205E-4</v>
      </c>
      <c r="AO79" s="54">
        <f>1.013*10^5*50*10^(-6)*(Y79*10^(-6))/(8.3145*(273.15+25))/3*12.011*10^6</f>
        <v>2.9203363913859673E-4</v>
      </c>
      <c r="AP79" s="54">
        <f>1.013*10^5*50*10^(-6)*(Z79*10^(-6))/(8.3145*(273.15+25))/3*12.011*10^6</f>
        <v>1.0911322003195234E-4</v>
      </c>
      <c r="AZ79" s="18">
        <v>76</v>
      </c>
      <c r="BA79">
        <f>C79-B79</f>
        <v>443.09374897233988</v>
      </c>
      <c r="BB79">
        <f>('7-24-13 Final'!S94-'7-24-13 Initial'!S94)*60</f>
        <v>132.00000000000273</v>
      </c>
      <c r="BC79">
        <f>BD79/60</f>
        <v>5.5946180425799331E-2</v>
      </c>
      <c r="BD79">
        <f>BA79/BB79</f>
        <v>3.3567708255479598</v>
      </c>
      <c r="BE79">
        <f>BD79/3</f>
        <v>1.1189236085159866</v>
      </c>
      <c r="BF79" s="48">
        <f>D79-B79</f>
        <v>13121.694830398719</v>
      </c>
      <c r="BG79">
        <f>('7-29-13 Final #2'!S94-'7-24-13 Initial'!S94)*60</f>
        <v>6818</v>
      </c>
      <c r="BH79">
        <f>BI79/60</f>
        <v>3.2076109392780675E-2</v>
      </c>
      <c r="BI79">
        <f>BF79/BG79</f>
        <v>1.9245665635668405</v>
      </c>
      <c r="BJ79">
        <f>BI79/3</f>
        <v>0.64152218785561355</v>
      </c>
      <c r="BK79" s="48">
        <f>G79-F79</f>
        <v>5231.9699785639395</v>
      </c>
      <c r="BL79">
        <f>60*('8-1-13 Final #1'!S94-'7-30-13 Initial + cap'!S94)</f>
        <v>2700</v>
      </c>
      <c r="BM79">
        <f>BN79/60</f>
        <v>3.2296110978789747E-2</v>
      </c>
      <c r="BN79">
        <f>BK79/BL79</f>
        <v>1.937766658727385</v>
      </c>
      <c r="BO79">
        <f>BN79/3</f>
        <v>0.64592221957579499</v>
      </c>
      <c r="BP79" s="48">
        <f>H79-F79</f>
        <v>11889.845306817719</v>
      </c>
      <c r="BQ79">
        <f>('8-5-13 final 1'!S94-'7-30-13 Initial + cap'!S94)*60</f>
        <v>8499.9999999999982</v>
      </c>
      <c r="BR79">
        <f>BS79/60</f>
        <v>2.3313422170230823E-2</v>
      </c>
      <c r="BS79">
        <f>BP79/BQ79</f>
        <v>1.3988053302138495</v>
      </c>
      <c r="BT79">
        <f>BS79/3</f>
        <v>0.46626844340461648</v>
      </c>
      <c r="BU79" s="48">
        <f>'8-8-13 Final'!U94-'8-5-13 initial'!U94</f>
        <v>9189.1430495062141</v>
      </c>
      <c r="BV79">
        <f>('8-8-13 Final'!S94-'8-5-13 initial'!S94)*60</f>
        <v>4290</v>
      </c>
      <c r="BW79">
        <f>BX79/60</f>
        <v>3.5699856447188087E-2</v>
      </c>
      <c r="BX79">
        <f>BU79/BV79</f>
        <v>2.1419913868312852</v>
      </c>
      <c r="BY79">
        <f>BX79/3</f>
        <v>0.71399712894376177</v>
      </c>
      <c r="BZ79" s="48">
        <v>9170.8360942522304</v>
      </c>
      <c r="CA79">
        <v>11459</v>
      </c>
      <c r="CB79">
        <f>CC79/60</f>
        <v>1.3338621890002367E-2</v>
      </c>
      <c r="CC79">
        <v>0.80031731340014201</v>
      </c>
      <c r="CD79">
        <v>0.266772437800047</v>
      </c>
    </row>
    <row r="80" spans="1:82">
      <c r="A80">
        <v>77</v>
      </c>
      <c r="B80">
        <v>2175.08512079715</v>
      </c>
      <c r="C80">
        <v>2572.8945686360598</v>
      </c>
      <c r="D80">
        <v>15279.9473459989</v>
      </c>
      <c r="F80">
        <v>843.34913884872003</v>
      </c>
      <c r="G80">
        <v>4375.7831657886099</v>
      </c>
      <c r="H80">
        <v>11195.8027315611</v>
      </c>
      <c r="I80">
        <v>1068.5073715170399</v>
      </c>
      <c r="J80">
        <v>8955.5398669993301</v>
      </c>
      <c r="K80">
        <v>9032.5353832519104</v>
      </c>
      <c r="M80">
        <f>C80-B80</f>
        <v>397.80944783890982</v>
      </c>
      <c r="N80">
        <f>D80-B80</f>
        <v>13104.86222520175</v>
      </c>
      <c r="O80">
        <f>(G80-F80)+N80</f>
        <v>16637.296252141641</v>
      </c>
      <c r="P80">
        <f>(H80-F80)+N80</f>
        <v>23457.315817914132</v>
      </c>
      <c r="Q80">
        <f>(J80-I80)+P80</f>
        <v>31344.348313396422</v>
      </c>
      <c r="R80">
        <f>(K80-J80)+Q80</f>
        <v>31421.343829649002</v>
      </c>
      <c r="U80">
        <v>5.0228465636224399E-2</v>
      </c>
      <c r="V80">
        <v>3.2044361857398597E-2</v>
      </c>
      <c r="W80">
        <v>2.1805148314443801E-2</v>
      </c>
      <c r="X80">
        <v>2.0296540784833901E-2</v>
      </c>
      <c r="Y80">
        <v>3.06482960110449E-2</v>
      </c>
      <c r="Z80">
        <v>1.15853888623183E-2</v>
      </c>
      <c r="AC80" s="54">
        <f>1.013*10^5*50*10^(-6)*(M80*10^(-6))/(8.3145*(273.15+25))/3*12.011*10^6</f>
        <v>3.2541794925134231</v>
      </c>
      <c r="AD80" s="54">
        <f>1.013*10^5*50*10^(-6)*(N80*10^(-6))/(8.3145*(273.15+25))/3*12.011*10^6</f>
        <v>107.20100826447536</v>
      </c>
      <c r="AE80" s="54">
        <f>1.013*10^5*50*10^(-6)*(O80*10^(-6))/(8.3145*(273.15+25))/3*12.011*10^6</f>
        <v>136.09719067434938</v>
      </c>
      <c r="AF80" s="54">
        <f>1.013*10^5*50*10^(-6)*(P80*10^(-6))/(8.3145*(273.15+25))/3*12.011*10^6</f>
        <v>191.88663441441929</v>
      </c>
      <c r="AG80" s="54">
        <f>1.013*10^5*50*10^(-6)*(Q80*10^(-6))/(8.3145*(273.15+25))/3*12.011*10^6</f>
        <v>256.40450733828868</v>
      </c>
      <c r="AH80" s="54">
        <f>1.013*10^5*50*10^(-6)*(R80*10^(-6))/(8.3145*(273.15+25))/3*12.011*10^6</f>
        <v>257.0343496694997</v>
      </c>
      <c r="AK80" s="54">
        <f>1.013*10^5*50*10^(-6)*(U80*10^(-6))/(8.3145*(273.15+25))/3*12.011*10^6</f>
        <v>4.1088124905471195E-4</v>
      </c>
      <c r="AL80" s="54">
        <f>1.013*10^5*50*10^(-6)*(V80*10^(-6))/(8.3145*(273.15+25))/3*12.011*10^6</f>
        <v>2.621307909440415E-4</v>
      </c>
      <c r="AM80" s="54">
        <f>1.013*10^5*50*10^(-6)*(W80*10^(-6))/(8.3145*(273.15+25))/3*12.011*10^6</f>
        <v>1.7837149635724722E-4</v>
      </c>
      <c r="AN80" s="54">
        <f>1.013*10^5*50*10^(-6)*(X80*10^(-6))/(8.3145*(273.15+25))/3*12.011*10^6</f>
        <v>1.6603071432761619E-4</v>
      </c>
      <c r="AO80" s="54">
        <f>1.013*10^5*50*10^(-6)*(Y80*10^(-6))/(8.3145*(273.15+25))/3*12.011*10^6</f>
        <v>2.5071062766716961E-4</v>
      </c>
      <c r="AP80" s="54">
        <f>1.013*10^5*50*10^(-6)*(Z80*10^(-6))/(8.3145*(273.15+25))/3*12.011*10^6</f>
        <v>9.4771341036164509E-5</v>
      </c>
      <c r="AZ80">
        <v>77</v>
      </c>
      <c r="BA80">
        <f>C80-B80</f>
        <v>397.80944783890982</v>
      </c>
      <c r="BB80">
        <f>('7-24-13 Final'!S95-'7-24-13 Initial'!S95)*60</f>
        <v>132.00000000000273</v>
      </c>
      <c r="BC80">
        <f>BD80/60</f>
        <v>5.0228465636224948E-2</v>
      </c>
      <c r="BD80">
        <f>BA80/BB80</f>
        <v>3.0137079381734968</v>
      </c>
      <c r="BE80">
        <f>BD80/3</f>
        <v>1.004569312724499</v>
      </c>
      <c r="BF80" s="48">
        <f>D80-B80</f>
        <v>13104.86222520175</v>
      </c>
      <c r="BG80">
        <f>('7-29-13 Final #2'!S95-'7-24-13 Initial'!S95)*60</f>
        <v>6816.0000000000018</v>
      </c>
      <c r="BH80">
        <f>BI80/60</f>
        <v>3.2044361857398639E-2</v>
      </c>
      <c r="BI80">
        <f>BF80/BG80</f>
        <v>1.9226617114439182</v>
      </c>
      <c r="BJ80">
        <f>BI80/3</f>
        <v>0.64088723714797269</v>
      </c>
      <c r="BK80" s="48">
        <f>G80-F80</f>
        <v>3532.4340269398899</v>
      </c>
      <c r="BL80">
        <f>60*('8-1-13 Final #1'!S95-'7-30-13 Initial + cap'!S95)</f>
        <v>2700</v>
      </c>
      <c r="BM80">
        <f>BN80/60</f>
        <v>2.1805148314443763E-2</v>
      </c>
      <c r="BN80">
        <f>BK80/BL80</f>
        <v>1.3083088988666258</v>
      </c>
      <c r="BO80">
        <f>BN80/3</f>
        <v>0.43610296628887529</v>
      </c>
      <c r="BP80" s="48">
        <f>H80-F80</f>
        <v>10352.45359271238</v>
      </c>
      <c r="BQ80">
        <f>('8-5-13 final 1'!S95-'7-30-13 Initial + cap'!S95)*60</f>
        <v>8501.0000000000036</v>
      </c>
      <c r="BR80">
        <f>BS80/60</f>
        <v>2.0296540784833894E-2</v>
      </c>
      <c r="BS80">
        <f>BP80/BQ80</f>
        <v>1.2177924470900336</v>
      </c>
      <c r="BT80">
        <f>BS80/3</f>
        <v>0.40593081569667788</v>
      </c>
      <c r="BU80" s="48">
        <f>'8-8-13 Final'!U95-'8-5-13 initial'!U95</f>
        <v>7887.0324954822972</v>
      </c>
      <c r="BV80">
        <f>('8-8-13 Final'!S95-'8-5-13 initial'!S95)*60</f>
        <v>4289.0000000000009</v>
      </c>
      <c r="BW80">
        <f>BX80/60</f>
        <v>3.0648296011044903E-2</v>
      </c>
      <c r="BX80">
        <f>BU80/BV80</f>
        <v>1.8388977606626942</v>
      </c>
      <c r="BY80">
        <f>BX80/3</f>
        <v>0.61296592022089802</v>
      </c>
      <c r="BZ80" s="48">
        <v>7964.0280117348802</v>
      </c>
      <c r="CA80">
        <v>11457</v>
      </c>
      <c r="CB80">
        <f>CC80/60</f>
        <v>1.1585388862318351E-2</v>
      </c>
      <c r="CC80">
        <v>0.69512333173910101</v>
      </c>
      <c r="CD80">
        <v>0.23170777724636701</v>
      </c>
    </row>
    <row r="81" spans="1:82">
      <c r="A81" s="18">
        <v>78</v>
      </c>
      <c r="B81">
        <v>2073.5810036931998</v>
      </c>
      <c r="C81">
        <v>2565.4301154807499</v>
      </c>
      <c r="D81">
        <v>14743.6941595874</v>
      </c>
      <c r="F81">
        <v>1337.33255754693</v>
      </c>
      <c r="G81">
        <v>4835.9510535415202</v>
      </c>
      <c r="H81">
        <v>11790.729652813099</v>
      </c>
      <c r="I81">
        <v>1039.01323903961</v>
      </c>
      <c r="J81">
        <v>9063.7145501889208</v>
      </c>
      <c r="K81">
        <v>9854.3829199002103</v>
      </c>
      <c r="M81">
        <f>C81-B81</f>
        <v>491.8491117875501</v>
      </c>
      <c r="N81">
        <f>D81-B81</f>
        <v>12670.1131558942</v>
      </c>
      <c r="O81">
        <f>(G81-F81)+N81</f>
        <v>16168.731651888789</v>
      </c>
      <c r="P81">
        <f>(H81-F81)+N81</f>
        <v>23123.510251160369</v>
      </c>
      <c r="Q81">
        <f>(J81-I81)+P81</f>
        <v>31148.21156230968</v>
      </c>
      <c r="R81">
        <f>(K81-J81)+Q81</f>
        <v>31938.879932020969</v>
      </c>
      <c r="U81">
        <v>6.2102160579238001E-2</v>
      </c>
      <c r="V81">
        <v>3.0981301730961901E-2</v>
      </c>
      <c r="W81">
        <v>2.1596410469102399E-2</v>
      </c>
      <c r="X81">
        <v>2.04920353941546E-2</v>
      </c>
      <c r="Y81">
        <v>3.0760124621087501E-2</v>
      </c>
      <c r="Z81">
        <v>1.2824967529184999E-2</v>
      </c>
      <c r="AC81" s="54">
        <f>1.013*10^5*50*10^(-6)*(M81*10^(-6))/(8.3145*(273.15+25))/3*12.011*10^6</f>
        <v>4.0234471596514849</v>
      </c>
      <c r="AD81" s="54">
        <f>1.013*10^5*50*10^(-6)*(N81*10^(-6))/(8.3145*(273.15+25))/3*12.011*10^6</f>
        <v>103.64465354888092</v>
      </c>
      <c r="AE81" s="54">
        <f>1.013*10^5*50*10^(-6)*(O81*10^(-6))/(8.3145*(273.15+25))/3*12.011*10^6</f>
        <v>132.26421656741454</v>
      </c>
      <c r="AF81" s="54">
        <f>1.013*10^5*50*10^(-6)*(P81*10^(-6))/(8.3145*(273.15+25))/3*12.011*10^6</f>
        <v>189.15602247013786</v>
      </c>
      <c r="AG81" s="54">
        <f>1.013*10^5*50*10^(-6)*(Q81*10^(-6))/(8.3145*(273.15+25))/3*12.011*10^6</f>
        <v>254.8000602931468</v>
      </c>
      <c r="AH81" s="54">
        <f>1.013*10^5*50*10^(-6)*(R81*10^(-6))/(8.3145*(273.15+25))/3*12.011*10^6</f>
        <v>261.26792275360651</v>
      </c>
      <c r="AK81" s="54">
        <f>1.013*10^5*50*10^(-6)*(U81*10^(-6))/(8.3145*(273.15+25))/3*12.011*10^6</f>
        <v>5.0801100500651587E-4</v>
      </c>
      <c r="AL81" s="54">
        <f>1.013*10^5*50*10^(-6)*(V81*10^(-6))/(8.3145*(273.15+25))/3*12.011*10^6</f>
        <v>2.5343469666686409E-4</v>
      </c>
      <c r="AM81" s="54">
        <f>1.013*10^5*50*10^(-6)*(W81*10^(-6))/(8.3145*(273.15+25))/3*12.011*10^6</f>
        <v>1.7666396925020755E-4</v>
      </c>
      <c r="AN81" s="54">
        <f>1.013*10^5*50*10^(-6)*(X81*10^(-6))/(8.3145*(273.15+25))/3*12.011*10^6</f>
        <v>1.6762990849458314E-4</v>
      </c>
      <c r="AO81" s="54">
        <f>1.013*10^5*50*10^(-6)*(Y81*10^(-6))/(8.3145*(273.15+25))/3*12.011*10^6</f>
        <v>2.5162541330500156E-4</v>
      </c>
      <c r="AP81" s="54">
        <f>1.013*10^5*50*10^(-6)*(Z81*10^(-6))/(8.3145*(273.15+25))/3*12.011*10^6</f>
        <v>1.0491140055206671E-4</v>
      </c>
      <c r="AZ81" s="18">
        <v>78</v>
      </c>
      <c r="BA81">
        <f>C81-B81</f>
        <v>491.8491117875501</v>
      </c>
      <c r="BB81">
        <f>('7-24-13 Final'!S96-'7-24-13 Initial'!S96)*60</f>
        <v>131.99999999999591</v>
      </c>
      <c r="BC81">
        <f>BD81/60</f>
        <v>6.210216057923805E-2</v>
      </c>
      <c r="BD81">
        <f>BA81/BB81</f>
        <v>3.7261296347542832</v>
      </c>
      <c r="BE81">
        <f>BD81/3</f>
        <v>1.2420432115847611</v>
      </c>
      <c r="BF81" s="48">
        <f>D81-B81</f>
        <v>12670.1131558942</v>
      </c>
      <c r="BG81">
        <f>('7-29-13 Final #2'!S96-'7-24-13 Initial'!S96)*60</f>
        <v>6815.9999999999945</v>
      </c>
      <c r="BH81">
        <f>BI81/60</f>
        <v>3.0981301730961978E-2</v>
      </c>
      <c r="BI81">
        <f>BF81/BG81</f>
        <v>1.8588781038577187</v>
      </c>
      <c r="BJ81">
        <f>BI81/3</f>
        <v>0.6196260346192396</v>
      </c>
      <c r="BK81" s="48">
        <f>G81-F81</f>
        <v>3498.6184959945904</v>
      </c>
      <c r="BL81">
        <f>60*('8-1-13 Final #1'!S96-'7-30-13 Initial + cap'!S96)</f>
        <v>2700</v>
      </c>
      <c r="BM81">
        <f>BN81/60</f>
        <v>2.159641046910241E-2</v>
      </c>
      <c r="BN81">
        <f>BK81/BL81</f>
        <v>1.2957846281461445</v>
      </c>
      <c r="BO81">
        <f>BN81/3</f>
        <v>0.43192820938204818</v>
      </c>
      <c r="BP81" s="48">
        <f>H81-F81</f>
        <v>10453.397095266169</v>
      </c>
      <c r="BQ81">
        <f>('8-5-13 final 1'!S96-'7-30-13 Initial + cap'!S96)*60</f>
        <v>8502.0000000000036</v>
      </c>
      <c r="BR81">
        <f>BS81/60</f>
        <v>2.0492035394154638E-2</v>
      </c>
      <c r="BS81">
        <f>BP81/BQ81</f>
        <v>1.2295221236492784</v>
      </c>
      <c r="BT81">
        <f>BS81/3</f>
        <v>0.40984070788309279</v>
      </c>
      <c r="BU81" s="48">
        <f>'8-8-13 Final'!U96-'8-5-13 initial'!U96</f>
        <v>8024.701311149307</v>
      </c>
      <c r="BV81">
        <f>('8-8-13 Final'!S96-'8-5-13 initial'!S96)*60</f>
        <v>4348.0000000000018</v>
      </c>
      <c r="BW81">
        <f>BX81/60</f>
        <v>3.076012462108749E-2</v>
      </c>
      <c r="BX81">
        <f>BU81/BV81</f>
        <v>1.8456074772652493</v>
      </c>
      <c r="BY81">
        <f>BX81/3</f>
        <v>0.61520249242174974</v>
      </c>
      <c r="BZ81" s="48">
        <v>8815.3696808606001</v>
      </c>
      <c r="CA81">
        <v>11456</v>
      </c>
      <c r="CB81">
        <f>CC81/60</f>
        <v>1.2824967529184999E-2</v>
      </c>
      <c r="CC81">
        <v>0.76949805175109998</v>
      </c>
      <c r="CD81">
        <v>0.25649935058369999</v>
      </c>
    </row>
    <row r="82" spans="1:82">
      <c r="A82" s="18">
        <v>79</v>
      </c>
      <c r="B82">
        <v>1763.8308220119</v>
      </c>
      <c r="C82">
        <v>2151.5283434376902</v>
      </c>
      <c r="D82">
        <v>13354.154901247701</v>
      </c>
      <c r="F82">
        <v>1475.4420048536899</v>
      </c>
      <c r="G82">
        <v>5976.7998478362097</v>
      </c>
      <c r="H82">
        <v>13140.2170012693</v>
      </c>
      <c r="I82">
        <v>1317.2803454719699</v>
      </c>
      <c r="J82">
        <v>9393.0240224684403</v>
      </c>
      <c r="K82">
        <v>9920.3107371238802</v>
      </c>
      <c r="M82">
        <f>C82-B82</f>
        <v>387.69752142579023</v>
      </c>
      <c r="N82">
        <f>D82-B82</f>
        <v>11590.324079235801</v>
      </c>
      <c r="O82">
        <f>(G82-F82)+N82</f>
        <v>16091.68192221832</v>
      </c>
      <c r="P82">
        <f>(H82-F82)+N82</f>
        <v>23255.099075651411</v>
      </c>
      <c r="Q82">
        <f>(J82-I82)+P82</f>
        <v>31330.842752647881</v>
      </c>
      <c r="R82">
        <f>(K82-J82)+Q82</f>
        <v>31858.129467303319</v>
      </c>
      <c r="U82">
        <v>4.8951707250732501E-2</v>
      </c>
      <c r="V82">
        <v>2.8340972415971701E-2</v>
      </c>
      <c r="W82">
        <v>2.7786159524583499E-2</v>
      </c>
      <c r="X82">
        <v>2.28613495539659E-2</v>
      </c>
      <c r="Y82">
        <v>3.1403576283234098E-2</v>
      </c>
      <c r="Z82">
        <v>1.2518232919579601E-2</v>
      </c>
      <c r="AC82" s="54">
        <f>1.013*10^5*50*10^(-6)*(M82*10^(-6))/(8.3145*(273.15+25))/3*12.011*10^6</f>
        <v>3.1714614380726847</v>
      </c>
      <c r="AD82" s="54">
        <f>1.013*10^5*50*10^(-6)*(N82*10^(-6))/(8.3145*(273.15+25))/3*12.011*10^6</f>
        <v>94.811712328931151</v>
      </c>
      <c r="AE82" s="54">
        <f>1.013*10^5*50*10^(-6)*(O82*10^(-6))/(8.3145*(273.15+25))/3*12.011*10^6</f>
        <v>131.63393075706128</v>
      </c>
      <c r="AF82" s="54">
        <f>1.013*10^5*50*10^(-6)*(P82*10^(-6))/(8.3145*(273.15+25))/3*12.011*10^6</f>
        <v>190.23245154046029</v>
      </c>
      <c r="AG82" s="54">
        <f>1.013*10^5*50*10^(-6)*(Q82*10^(-6))/(8.3145*(273.15+25))/3*12.011*10^6</f>
        <v>256.29402851718089</v>
      </c>
      <c r="AH82" s="54">
        <f>1.013*10^5*50*10^(-6)*(R82*10^(-6))/(8.3145*(273.15+25))/3*12.011*10^6</f>
        <v>260.6073640169484</v>
      </c>
      <c r="AK82" s="54">
        <f>1.013*10^5*50*10^(-6)*(U82*10^(-6))/(8.3145*(273.15+25))/3*12.011*10^6</f>
        <v>4.0043705026171424E-4</v>
      </c>
      <c r="AL82" s="54">
        <f>1.013*10^5*50*10^(-6)*(V82*10^(-6))/(8.3145*(273.15+25))/3*12.011*10^6</f>
        <v>2.3183615103905281E-4</v>
      </c>
      <c r="AM82" s="54">
        <f>1.013*10^5*50*10^(-6)*(W82*10^(-6))/(8.3145*(273.15+25))/3*12.011*10^6</f>
        <v>2.2729764461808748E-4</v>
      </c>
      <c r="AN82" s="54">
        <f>1.013*10^5*50*10^(-6)*(X82*10^(-6))/(8.3145*(273.15+25))/3*12.011*10^6</f>
        <v>1.8701148324617577E-4</v>
      </c>
      <c r="AO82" s="54">
        <f>1.013*10^5*50*10^(-6)*(Y82*10^(-6))/(8.3145*(273.15+25))/3*12.011*10^6</f>
        <v>2.5688900675346351E-4</v>
      </c>
      <c r="AP82" s="54">
        <f>1.013*10^5*50*10^(-6)*(Z82*10^(-6))/(8.3145*(273.15+25))/3*12.011*10^6</f>
        <v>1.0240223572040038E-4</v>
      </c>
      <c r="AZ82" s="18">
        <v>79</v>
      </c>
      <c r="BA82">
        <f>C82-B82</f>
        <v>387.69752142579023</v>
      </c>
      <c r="BB82">
        <f>('7-24-13 Final'!S97-'7-24-13 Initial'!S97)*60</f>
        <v>131.99999999999591</v>
      </c>
      <c r="BC82">
        <f>BD82/60</f>
        <v>4.8951707250732605E-2</v>
      </c>
      <c r="BD82">
        <f>BA82/BB82</f>
        <v>2.9371024350439563</v>
      </c>
      <c r="BE82">
        <f>BD82/3</f>
        <v>0.97903414501465214</v>
      </c>
      <c r="BF82" s="48">
        <f>D82-B82</f>
        <v>11590.324079235801</v>
      </c>
      <c r="BG82">
        <f>('7-29-13 Final #2'!S97-'7-24-13 Initial'!S97)*60</f>
        <v>6816.0000000000018</v>
      </c>
      <c r="BH82">
        <f>BI82/60</f>
        <v>2.8340972415971728E-2</v>
      </c>
      <c r="BI82">
        <f>BF82/BG82</f>
        <v>1.7004583449583037</v>
      </c>
      <c r="BJ82">
        <f>BI82/3</f>
        <v>0.56681944831943454</v>
      </c>
      <c r="BK82" s="48">
        <f>G82-F82</f>
        <v>4501.3578429825193</v>
      </c>
      <c r="BL82">
        <f>60*('8-1-13 Final #1'!S97-'7-30-13 Initial + cap'!S97)</f>
        <v>2700</v>
      </c>
      <c r="BM82">
        <f>BN82/60</f>
        <v>2.7786159524583454E-2</v>
      </c>
      <c r="BN82">
        <f>BK82/BL82</f>
        <v>1.6671695714750072</v>
      </c>
      <c r="BO82">
        <f>BN82/3</f>
        <v>0.55572319049166907</v>
      </c>
      <c r="BP82" s="48">
        <f>H82-F82</f>
        <v>11664.77499641561</v>
      </c>
      <c r="BQ82">
        <f>('8-5-13 final 1'!S97-'7-30-13 Initial + cap'!S97)*60</f>
        <v>8504</v>
      </c>
      <c r="BR82">
        <f>BS82/60</f>
        <v>2.2861349553965998E-2</v>
      </c>
      <c r="BS82">
        <f>BP82/BQ82</f>
        <v>1.3716809732379598</v>
      </c>
      <c r="BT82">
        <f>BS82/3</f>
        <v>0.45722699107931991</v>
      </c>
      <c r="BU82" s="48">
        <f>'8-8-13 Final'!U97-'8-5-13 initial'!U97</f>
        <v>8075.7436769964715</v>
      </c>
      <c r="BV82">
        <f>('8-8-13 Final'!S97-'8-5-13 initial'!S97)*60</f>
        <v>4285.9999999999964</v>
      </c>
      <c r="BW82">
        <f>BX82/60</f>
        <v>3.1403576283234085E-2</v>
      </c>
      <c r="BX82">
        <f>BU82/BV82</f>
        <v>1.8842145769940453</v>
      </c>
      <c r="BY82">
        <f>BX82/3</f>
        <v>0.62807152566468172</v>
      </c>
      <c r="BZ82" s="48">
        <v>8603.0303916519097</v>
      </c>
      <c r="CA82">
        <v>11454</v>
      </c>
      <c r="CB82">
        <f>CC82/60</f>
        <v>1.2518232919579651E-2</v>
      </c>
      <c r="CC82">
        <v>0.75109397517477905</v>
      </c>
      <c r="CD82">
        <v>0.250364658391593</v>
      </c>
    </row>
    <row r="83" spans="1:82">
      <c r="A83">
        <v>80</v>
      </c>
      <c r="B83">
        <v>1864.6012821526299</v>
      </c>
      <c r="C83">
        <v>2269.7683323210499</v>
      </c>
      <c r="D83">
        <v>13989.7182948547</v>
      </c>
      <c r="F83">
        <v>968.67421375400397</v>
      </c>
      <c r="G83">
        <v>4539.5784109936803</v>
      </c>
      <c r="H83">
        <v>11194.803963754201</v>
      </c>
      <c r="I83">
        <v>908.51054730598298</v>
      </c>
      <c r="J83">
        <v>8147.2255490299804</v>
      </c>
      <c r="K83">
        <v>8569.2306250068305</v>
      </c>
      <c r="M83">
        <f>C83-B83</f>
        <v>405.16705016842002</v>
      </c>
      <c r="N83">
        <f>D83-B83</f>
        <v>12125.11701270207</v>
      </c>
      <c r="O83">
        <f>(G83-F83)+N83</f>
        <v>15696.021209941748</v>
      </c>
      <c r="P83">
        <f>(H83-F83)+N83</f>
        <v>22351.246762702267</v>
      </c>
      <c r="Q83">
        <f>(J83-I83)+P83</f>
        <v>29589.961764426265</v>
      </c>
      <c r="R83">
        <f>(K83-J83)+Q83</f>
        <v>30011.966840403114</v>
      </c>
      <c r="U83">
        <v>5.1157455829347401E-2</v>
      </c>
      <c r="V83">
        <v>2.9635618645700801E-2</v>
      </c>
      <c r="W83">
        <v>2.20426185014795E-2</v>
      </c>
      <c r="X83">
        <v>2.0041803367043299E-2</v>
      </c>
      <c r="Y83">
        <v>2.8148681761253701E-2</v>
      </c>
      <c r="Z83">
        <v>1.11480544801957E-2</v>
      </c>
      <c r="AC83" s="54">
        <f>1.013*10^5*50*10^(-6)*(M83*10^(-6))/(8.3145*(273.15+25))/3*12.011*10^6</f>
        <v>3.3143664959765893</v>
      </c>
      <c r="AD83" s="54">
        <f>1.013*10^5*50*10^(-6)*(N83*10^(-6))/(8.3145*(273.15+25))/3*12.011*10^6</f>
        <v>99.18645055166877</v>
      </c>
      <c r="AE83" s="54">
        <f>1.013*10^5*50*10^(-6)*(O83*10^(-6))/(8.3145*(273.15+25))/3*12.011*10^6</f>
        <v>128.39732845191674</v>
      </c>
      <c r="AF83" s="54">
        <f>1.013*10^5*50*10^(-6)*(P83*10^(-6))/(8.3145*(273.15+25))/3*12.011*10^6</f>
        <v>182.83871648203356</v>
      </c>
      <c r="AG83" s="54">
        <f>1.013*10^5*50*10^(-6)*(Q83*10^(-6))/(8.3145*(273.15+25))/3*12.011*10^6</f>
        <v>242.05319225360535</v>
      </c>
      <c r="AH83" s="54">
        <f>1.013*10^5*50*10^(-6)*(R83*10^(-6))/(8.3145*(273.15+25))/3*12.011*10^6</f>
        <v>245.50529795758186</v>
      </c>
      <c r="AK83" s="54">
        <f>1.013*10^5*50*10^(-6)*(U83*10^(-6))/(8.3145*(273.15+25))/3*12.011*10^6</f>
        <v>4.1848061817887408E-4</v>
      </c>
      <c r="AL83" s="54">
        <f>1.013*10^5*50*10^(-6)*(V83*10^(-6))/(8.3145*(273.15+25))/3*12.011*10^6</f>
        <v>2.4242667681397172E-4</v>
      </c>
      <c r="AM83" s="54">
        <f>1.013*10^5*50*10^(-6)*(W83*10^(-6))/(8.3145*(273.15+25))/3*12.011*10^6</f>
        <v>1.8031406111264196E-4</v>
      </c>
      <c r="AN83" s="54">
        <f>1.013*10^5*50*10^(-6)*(X83*10^(-6))/(8.3145*(273.15+25))/3*12.011*10^6</f>
        <v>1.6394689936179944E-4</v>
      </c>
      <c r="AO83" s="54">
        <f>1.013*10^5*50*10^(-6)*(Y83*10^(-6))/(8.3145*(273.15+25))/3*12.011*10^6</f>
        <v>2.3026316601171203E-4</v>
      </c>
      <c r="AP83" s="54">
        <f>1.013*10^5*50*10^(-6)*(Z83*10^(-6))/(8.3145*(273.15+25))/3*12.011*10^6</f>
        <v>9.1193837823493992E-5</v>
      </c>
      <c r="AZ83">
        <v>80</v>
      </c>
      <c r="BA83">
        <f>C83-B83</f>
        <v>405.16705016842002</v>
      </c>
      <c r="BB83">
        <f>('7-24-13 Final'!S98-'7-24-13 Initial'!S98)*60</f>
        <v>131.99999999999591</v>
      </c>
      <c r="BC83">
        <f>BD83/60</f>
        <v>5.1157455829347546E-2</v>
      </c>
      <c r="BD83">
        <f>BA83/BB83</f>
        <v>3.069447349760853</v>
      </c>
      <c r="BE83">
        <f>BD83/3</f>
        <v>1.0231491165869511</v>
      </c>
      <c r="BF83" s="48">
        <f>D83-B83</f>
        <v>12125.11701270207</v>
      </c>
      <c r="BG83">
        <f>('7-29-13 Final #2'!S98-'7-24-13 Initial'!S98)*60</f>
        <v>6818.9999999999982</v>
      </c>
      <c r="BH83">
        <f>BI83/60</f>
        <v>2.9635618645700919E-2</v>
      </c>
      <c r="BI83">
        <f>BF83/BG83</f>
        <v>1.7781371187420552</v>
      </c>
      <c r="BJ83">
        <f>BI83/3</f>
        <v>0.59271237291401835</v>
      </c>
      <c r="BK83" s="48">
        <f>G83-F83</f>
        <v>3570.9041972396763</v>
      </c>
      <c r="BL83">
        <f>60*('8-1-13 Final #1'!S98-'7-30-13 Initial + cap'!S98)</f>
        <v>2700</v>
      </c>
      <c r="BM83">
        <f>BN83/60</f>
        <v>2.2042618501479483E-2</v>
      </c>
      <c r="BN83">
        <f>BK83/BL83</f>
        <v>1.322557110088769</v>
      </c>
      <c r="BO83">
        <f>BN83/3</f>
        <v>0.44085237002958966</v>
      </c>
      <c r="BP83" s="48">
        <f>H83-F83</f>
        <v>10226.129750000197</v>
      </c>
      <c r="BQ83">
        <f>('8-5-13 final 1'!S98-'7-30-13 Initial + cap'!S98)*60</f>
        <v>8503.9999999999945</v>
      </c>
      <c r="BR83">
        <f>BS83/60</f>
        <v>2.0041803367043358E-2</v>
      </c>
      <c r="BS83">
        <f>BP83/BQ83</f>
        <v>1.2025082020226014</v>
      </c>
      <c r="BT83">
        <f>BS83/3</f>
        <v>0.40083606734086713</v>
      </c>
      <c r="BU83" s="48">
        <f>'8-8-13 Final'!U98-'8-5-13 initial'!U98</f>
        <v>7238.7150017239956</v>
      </c>
      <c r="BV83">
        <f>('8-8-13 Final'!S98-'8-5-13 initial'!S98)*60</f>
        <v>4285.9999999999964</v>
      </c>
      <c r="BW83">
        <f>BX83/60</f>
        <v>2.8148681761253701E-2</v>
      </c>
      <c r="BX83">
        <f>BU83/BV83</f>
        <v>1.6889209056752221</v>
      </c>
      <c r="BY83">
        <f>BX83/3</f>
        <v>0.56297363522507404</v>
      </c>
      <c r="BZ83" s="48">
        <v>7660.7200777008502</v>
      </c>
      <c r="CA83">
        <v>11453</v>
      </c>
      <c r="CB83">
        <f>CC83/60</f>
        <v>1.114805448019565E-2</v>
      </c>
      <c r="CC83">
        <v>0.66888326881173898</v>
      </c>
      <c r="CD83">
        <v>0.222961089603913</v>
      </c>
    </row>
    <row r="84" spans="1:82">
      <c r="A84" s="18">
        <v>81</v>
      </c>
      <c r="B84">
        <v>3476.95732267946</v>
      </c>
      <c r="C84">
        <v>4744.4352641339401</v>
      </c>
      <c r="D84">
        <v>32575.170649350399</v>
      </c>
      <c r="F84">
        <v>1155.67339413484</v>
      </c>
      <c r="G84">
        <v>9201.3005338615403</v>
      </c>
      <c r="H84">
        <v>25526.735579898101</v>
      </c>
      <c r="I84">
        <v>1129.4076541628101</v>
      </c>
      <c r="J84">
        <v>20691.466554011498</v>
      </c>
      <c r="K84">
        <v>28878.1315316174</v>
      </c>
      <c r="M84">
        <f>C84-B84</f>
        <v>1267.4779414544801</v>
      </c>
      <c r="N84">
        <f>D84-B84</f>
        <v>29098.213326670939</v>
      </c>
      <c r="O84">
        <f>(G84-F84)+N84</f>
        <v>37143.84046639764</v>
      </c>
      <c r="P84">
        <f>(H84-F84)+N84</f>
        <v>53469.2755124342</v>
      </c>
      <c r="Q84">
        <f>(J84-I84)+P84</f>
        <v>73031.334412282886</v>
      </c>
      <c r="R84">
        <f>(K84-J84)+Q84</f>
        <v>81217.999389888791</v>
      </c>
      <c r="U84">
        <v>0.16003509361798701</v>
      </c>
      <c r="V84">
        <v>7.1120431457865202E-2</v>
      </c>
      <c r="W84">
        <v>4.9664365060041397E-2</v>
      </c>
      <c r="X84">
        <v>4.7752688662440798E-2</v>
      </c>
      <c r="Y84">
        <v>7.6087354725198994E-2</v>
      </c>
      <c r="Z84">
        <v>4.0384101579716197E-2</v>
      </c>
      <c r="AC84" s="54">
        <f>1.013*10^5*50*10^(-6)*(M84*10^(-6))/(8.3145*(273.15+25))/3*12.011*10^6</f>
        <v>10.368282469662525</v>
      </c>
      <c r="AD84" s="54">
        <f>1.013*10^5*50*10^(-6)*(N84*10^(-6))/(8.3145*(273.15+25))/3*12.011*10^6</f>
        <v>238.03056863239135</v>
      </c>
      <c r="AE84" s="54">
        <f>1.013*10^5*50*10^(-6)*(O84*10^(-6))/(8.3145*(273.15+25))/3*12.011*10^6</f>
        <v>303.84578489922637</v>
      </c>
      <c r="AF84" s="54">
        <f>1.013*10^5*50*10^(-6)*(P84*10^(-6))/(8.3145*(273.15+25))/3*12.011*10^6</f>
        <v>437.3918739169136</v>
      </c>
      <c r="AG84" s="54">
        <f>1.013*10^5*50*10^(-6)*(Q84*10^(-6))/(8.3145*(273.15+25))/3*12.011*10^6</f>
        <v>597.41434510016541</v>
      </c>
      <c r="AH84" s="54">
        <f>1.013*10^5*50*10^(-6)*(R84*10^(-6))/(8.3145*(273.15+25))/3*12.011*10^6</f>
        <v>664.38328569956275</v>
      </c>
      <c r="AK84" s="54">
        <f>1.013*10^5*50*10^(-6)*(U84*10^(-6))/(8.3145*(273.15+25))/3*12.011*10^6</f>
        <v>1.3091265744523154E-3</v>
      </c>
      <c r="AL84" s="54">
        <f>1.013*10^5*50*10^(-6)*(V84*10^(-6))/(8.3145*(273.15+25))/3*12.011*10^6</f>
        <v>5.8178268717894036E-4</v>
      </c>
      <c r="AM84" s="54">
        <f>1.013*10^5*50*10^(-6)*(W84*10^(-6))/(8.3145*(273.15+25))/3*12.011*10^6</f>
        <v>4.0626676707922849E-4</v>
      </c>
      <c r="AN84" s="54">
        <f>1.013*10^5*50*10^(-6)*(X84*10^(-6))/(8.3145*(273.15+25))/3*12.011*10^6</f>
        <v>3.9062878220182318E-4</v>
      </c>
      <c r="AO84" s="54">
        <f>1.013*10^5*50*10^(-6)*(Y84*10^(-6))/(8.3145*(273.15+25))/3*12.011*10^6</f>
        <v>6.2241334571470875E-4</v>
      </c>
      <c r="AP84" s="54">
        <f>1.013*10^5*50*10^(-6)*(Z84*10^(-6))/(8.3145*(273.15+25))/3*12.011*10^6</f>
        <v>3.3035192074550176E-4</v>
      </c>
      <c r="AZ84" s="18">
        <v>81</v>
      </c>
      <c r="BA84">
        <f>C84-B84</f>
        <v>1267.4779414544801</v>
      </c>
      <c r="BB84">
        <f>('7-24-13 Final'!S99-'7-24-13 Initial'!S99)*60</f>
        <v>132.00000000000273</v>
      </c>
      <c r="BC84">
        <f>BD84/60</f>
        <v>0.1600350936179866</v>
      </c>
      <c r="BD84">
        <f>BA84/BB84</f>
        <v>9.6021056170791965</v>
      </c>
      <c r="BE84">
        <f>BD84/3</f>
        <v>3.200701872359732</v>
      </c>
      <c r="BF84" s="48">
        <f>D84-B84</f>
        <v>29098.213326670939</v>
      </c>
      <c r="BG84">
        <f>('7-29-13 Final #2'!S99-'7-24-13 Initial'!S99)*60</f>
        <v>6818.9999999999982</v>
      </c>
      <c r="BH84">
        <f>BI84/60</f>
        <v>7.1120431457865146E-2</v>
      </c>
      <c r="BI84">
        <f>BF84/BG84</f>
        <v>4.2672258874719091</v>
      </c>
      <c r="BJ84">
        <f>BI84/3</f>
        <v>1.422408629157303</v>
      </c>
      <c r="BK84" s="48">
        <f>G84-F84</f>
        <v>8045.6271397267001</v>
      </c>
      <c r="BL84">
        <f>60*('8-1-13 Final #1'!S99-'7-30-13 Initial + cap'!S99)</f>
        <v>2700</v>
      </c>
      <c r="BM84">
        <f>BN84/60</f>
        <v>4.9664365060041356E-2</v>
      </c>
      <c r="BN84">
        <f>BK84/BL84</f>
        <v>2.9798619036024814</v>
      </c>
      <c r="BO84">
        <f>BN84/3</f>
        <v>0.99328730120082709</v>
      </c>
      <c r="BP84" s="48">
        <f>H84-F84</f>
        <v>24371.062185763261</v>
      </c>
      <c r="BQ84">
        <f>('8-5-13 final 1'!S99-'7-30-13 Initial + cap'!S99)*60</f>
        <v>8506</v>
      </c>
      <c r="BR84">
        <f>BS84/60</f>
        <v>4.775268866244075E-2</v>
      </c>
      <c r="BS84">
        <f>BP84/BQ84</f>
        <v>2.8651613197464449</v>
      </c>
      <c r="BT84">
        <f>BS84/3</f>
        <v>0.95505377324881502</v>
      </c>
      <c r="BU84" s="48">
        <f>'8-8-13 Final'!U99-'8-5-13 initial'!U99</f>
        <v>19562.058899848642</v>
      </c>
      <c r="BV84">
        <f>('8-8-13 Final'!S99-'8-5-13 initial'!S99)*60</f>
        <v>4284.9999999999982</v>
      </c>
      <c r="BW84">
        <f>BX84/60</f>
        <v>7.6087354725198952E-2</v>
      </c>
      <c r="BX84">
        <f>BU84/BV84</f>
        <v>4.5652412835119369</v>
      </c>
      <c r="BY84">
        <f>BX84/3</f>
        <v>1.521747094503979</v>
      </c>
      <c r="BZ84" s="48">
        <v>27748.723877454599</v>
      </c>
      <c r="CA84">
        <v>11452</v>
      </c>
      <c r="CB84">
        <f>CC84/60</f>
        <v>4.038410157971617E-2</v>
      </c>
      <c r="CC84">
        <v>2.4230460947829702</v>
      </c>
      <c r="CD84">
        <v>0.80768203159432395</v>
      </c>
    </row>
    <row r="85" spans="1:82">
      <c r="A85" s="18">
        <v>82</v>
      </c>
      <c r="B85">
        <v>3929.7020284403602</v>
      </c>
      <c r="C85">
        <v>5187.3353237995698</v>
      </c>
      <c r="D85">
        <v>35847.252745676102</v>
      </c>
      <c r="F85">
        <v>1105.9869080143201</v>
      </c>
      <c r="G85">
        <v>10287.5602900747</v>
      </c>
      <c r="H85">
        <v>26739.4213528523</v>
      </c>
      <c r="I85">
        <v>1320.326691381</v>
      </c>
      <c r="J85">
        <v>21077.336663589402</v>
      </c>
      <c r="K85">
        <v>28765.507603554499</v>
      </c>
      <c r="M85">
        <f>C85-B85</f>
        <v>1257.6332953592096</v>
      </c>
      <c r="N85">
        <f>D85-B85</f>
        <v>31917.550717235743</v>
      </c>
      <c r="O85">
        <f>(G85-F85)+N85</f>
        <v>41099.124099296125</v>
      </c>
      <c r="P85">
        <f>(H85-F85)+N85</f>
        <v>57550.985162073717</v>
      </c>
      <c r="Q85">
        <f>(J85-I85)+P85</f>
        <v>77307.995134282115</v>
      </c>
      <c r="R85">
        <f>(K85-J85)+Q85</f>
        <v>84996.166074247216</v>
      </c>
      <c r="U85">
        <v>0.16000423605078601</v>
      </c>
      <c r="V85">
        <v>7.8011318172839905E-2</v>
      </c>
      <c r="W85">
        <v>5.6676378901607503E-2</v>
      </c>
      <c r="X85">
        <v>5.0220278290109999E-2</v>
      </c>
      <c r="Y85">
        <v>7.6881508180436001E-2</v>
      </c>
      <c r="Z85">
        <v>3.9949317193847797E-2</v>
      </c>
      <c r="AC85" s="54">
        <f>1.013*10^5*50*10^(-6)*(M85*10^(-6))/(8.3145*(273.15+25))/3*12.011*10^6</f>
        <v>10.28775083420661</v>
      </c>
      <c r="AD85" s="54">
        <f>1.013*10^5*50*10^(-6)*(N85*10^(-6))/(8.3145*(273.15+25))/3*12.011*10^6</f>
        <v>261.09344451101424</v>
      </c>
      <c r="AE85" s="54">
        <f>1.013*10^5*50*10^(-6)*(O85*10^(-6))/(8.3145*(273.15+25))/3*12.011*10^6</f>
        <v>336.2009814768208</v>
      </c>
      <c r="AF85" s="54">
        <f>1.013*10^5*50*10^(-6)*(P85*10^(-6))/(8.3145*(273.15+25))/3*12.011*10^6</f>
        <v>470.78126652286744</v>
      </c>
      <c r="AG85" s="54">
        <f>1.013*10^5*50*10^(-6)*(Q85*10^(-6))/(8.3145*(273.15+25))/3*12.011*10^6</f>
        <v>632.3984856065598</v>
      </c>
      <c r="AH85" s="54">
        <f>1.013*10^5*50*10^(-6)*(R85*10^(-6))/(8.3145*(273.15+25))/3*12.011*10^6</f>
        <v>695.28962191236008</v>
      </c>
      <c r="AK85" s="54">
        <f>1.013*10^5*50*10^(-6)*(U85*10^(-6))/(8.3145*(273.15+25))/3*12.011*10^6</f>
        <v>1.3088741519346504E-3</v>
      </c>
      <c r="AL85" s="54">
        <f>1.013*10^5*50*10^(-6)*(V85*10^(-6))/(8.3145*(273.15+25))/3*12.011*10^6</f>
        <v>6.3815184169480879E-4</v>
      </c>
      <c r="AM85" s="54">
        <f>1.013*10^5*50*10^(-6)*(W85*10^(-6))/(8.3145*(273.15+25))/3*12.011*10^6</f>
        <v>4.6362677139386916E-4</v>
      </c>
      <c r="AN85" s="54">
        <f>1.013*10^5*50*10^(-6)*(X85*10^(-6))/(8.3145*(273.15+25))/3*12.011*10^6</f>
        <v>4.1081427454224551E-4</v>
      </c>
      <c r="AO85" s="54">
        <f>1.013*10^5*50*10^(-6)*(Y85*10^(-6))/(8.3145*(273.15+25))/3*12.011*10^6</f>
        <v>6.2890971703514933E-4</v>
      </c>
      <c r="AP85" s="54">
        <f>1.013*10^5*50*10^(-6)*(Z85*10^(-6))/(8.3145*(273.15+25))/3*12.011*10^6</f>
        <v>3.2679527713172079E-4</v>
      </c>
      <c r="AZ85" s="18">
        <v>82</v>
      </c>
      <c r="BA85">
        <f>C85-B85</f>
        <v>1257.6332953592096</v>
      </c>
      <c r="BB85">
        <f>('7-24-13 Final'!S100-'7-24-13 Initial'!S100)*60</f>
        <v>131.00000000000364</v>
      </c>
      <c r="BC85">
        <f>BD85/60</f>
        <v>0.16000423605078556</v>
      </c>
      <c r="BD85">
        <f>BA85/BB85</f>
        <v>9.6002541630471345</v>
      </c>
      <c r="BE85">
        <f>BD85/3</f>
        <v>3.2000847210157115</v>
      </c>
      <c r="BF85" s="48">
        <f>D85-B85</f>
        <v>31917.550717235743</v>
      </c>
      <c r="BG85">
        <f>('7-29-13 Final #2'!S100-'7-24-13 Initial'!S100)*60</f>
        <v>6818.9999999999982</v>
      </c>
      <c r="BH85">
        <f>BI85/60</f>
        <v>7.8011318172839975E-2</v>
      </c>
      <c r="BI85">
        <f>BF85/BG85</f>
        <v>4.6806790903703988</v>
      </c>
      <c r="BJ85">
        <f>BI85/3</f>
        <v>1.5602263634567997</v>
      </c>
      <c r="BK85" s="48">
        <f>G85-F85</f>
        <v>9181.57338206038</v>
      </c>
      <c r="BL85">
        <f>60*('8-1-13 Final #1'!S100-'7-30-13 Initial + cap'!S100)</f>
        <v>2700</v>
      </c>
      <c r="BM85">
        <f>BN85/60</f>
        <v>5.6676378901607281E-2</v>
      </c>
      <c r="BN85">
        <f>BK85/BL85</f>
        <v>3.400582734096437</v>
      </c>
      <c r="BO85">
        <f>BN85/3</f>
        <v>1.1335275780321457</v>
      </c>
      <c r="BP85" s="48">
        <f>H85-F85</f>
        <v>25633.434444837978</v>
      </c>
      <c r="BQ85">
        <f>('8-5-13 final 1'!S100-'7-30-13 Initial + cap'!S100)*60</f>
        <v>8506.9999999999982</v>
      </c>
      <c r="BR85">
        <f>BS85/60</f>
        <v>5.0220278290110075E-2</v>
      </c>
      <c r="BS85">
        <f>BP85/BQ85</f>
        <v>3.0132166974066044</v>
      </c>
      <c r="BT85">
        <f>BS85/3</f>
        <v>1.0044055658022015</v>
      </c>
      <c r="BU85" s="48">
        <f>'8-8-13 Final'!U100-'8-5-13 initial'!U100</f>
        <v>19757.009972208449</v>
      </c>
      <c r="BV85">
        <f>('8-8-13 Final'!S100-'8-5-13 initial'!S100)*60</f>
        <v>4283</v>
      </c>
      <c r="BW85">
        <f>BX85/60</f>
        <v>7.6881508180436015E-2</v>
      </c>
      <c r="BX85">
        <f>BU85/BV85</f>
        <v>4.6128904908261612</v>
      </c>
      <c r="BY85">
        <f>BX85/3</f>
        <v>1.5376301636087204</v>
      </c>
      <c r="BZ85" s="48">
        <v>27445.180912173499</v>
      </c>
      <c r="CA85">
        <v>11450</v>
      </c>
      <c r="CB85">
        <f>CC85/60</f>
        <v>3.9949317193847839E-2</v>
      </c>
      <c r="CC85">
        <v>2.3969590316308702</v>
      </c>
      <c r="CD85">
        <v>0.79898634387695699</v>
      </c>
    </row>
    <row r="86" spans="1:82">
      <c r="A86">
        <v>83</v>
      </c>
      <c r="B86">
        <v>3737.1761716293399</v>
      </c>
      <c r="C86">
        <v>4795.5581358971704</v>
      </c>
      <c r="D86">
        <v>34678.2485202682</v>
      </c>
      <c r="F86">
        <v>1233.19657446978</v>
      </c>
      <c r="G86">
        <v>9667.9507123199091</v>
      </c>
      <c r="H86">
        <v>25728.9563115048</v>
      </c>
      <c r="I86">
        <v>1547.37556131971</v>
      </c>
      <c r="J86">
        <v>21244.7116914207</v>
      </c>
      <c r="K86">
        <v>30242.116263995202</v>
      </c>
      <c r="M86">
        <f>C86-B86</f>
        <v>1058.3819642678304</v>
      </c>
      <c r="N86">
        <f>D86-B86</f>
        <v>30941.07234863886</v>
      </c>
      <c r="O86">
        <f>(G86-F86)+N86</f>
        <v>39375.826486488993</v>
      </c>
      <c r="P86">
        <f>(H86-F86)+N86</f>
        <v>55436.832085673879</v>
      </c>
      <c r="Q86">
        <f>(J86-I86)+P86</f>
        <v>75134.168215774873</v>
      </c>
      <c r="R86">
        <f>(K86-J86)+Q86</f>
        <v>84131.572788349382</v>
      </c>
      <c r="U86">
        <v>0.13465419392720099</v>
      </c>
      <c r="V86">
        <v>7.5635749361100194E-2</v>
      </c>
      <c r="W86">
        <v>5.2066383566976099E-2</v>
      </c>
      <c r="X86">
        <v>4.7980098987415301E-2</v>
      </c>
      <c r="Y86">
        <v>7.6667196520710898E-2</v>
      </c>
      <c r="Z86">
        <v>4.1768181517722699E-2</v>
      </c>
      <c r="AC86" s="54">
        <f>1.013*10^5*50*10^(-6)*(M86*10^(-6))/(8.3145*(273.15+25))/3*12.011*10^6</f>
        <v>8.6578257557149296</v>
      </c>
      <c r="AD86" s="54">
        <f>1.013*10^5*50*10^(-6)*(N86*10^(-6))/(8.3145*(273.15+25))/3*12.011*10^6</f>
        <v>253.1056103878345</v>
      </c>
      <c r="AE86" s="54">
        <f>1.013*10^5*50*10^(-6)*(O86*10^(-6))/(8.3145*(273.15+25))/3*12.011*10^6</f>
        <v>322.10398156503089</v>
      </c>
      <c r="AF86" s="54">
        <f>1.013*10^5*50*10^(-6)*(P86*10^(-6))/(8.3145*(273.15+25))/3*12.011*10^6</f>
        <v>453.48697242646261</v>
      </c>
      <c r="AG86" s="54">
        <f>1.013*10^5*50*10^(-6)*(Q86*10^(-6))/(8.3145*(273.15+25))/3*12.011*10^6</f>
        <v>614.6160447497391</v>
      </c>
      <c r="AH86" s="54">
        <f>1.013*10^5*50*10^(-6)*(R86*10^(-6))/(8.3145*(273.15+25))/3*12.011*10^6</f>
        <v>688.21703538728377</v>
      </c>
      <c r="AK86" s="54">
        <f>1.013*10^5*50*10^(-6)*(U86*10^(-6))/(8.3145*(273.15+25))/3*12.011*10^6</f>
        <v>1.1015045490731143E-3</v>
      </c>
      <c r="AL86" s="54">
        <f>1.013*10^5*50*10^(-6)*(V86*10^(-6))/(8.3145*(273.15+25))/3*12.011*10^6</f>
        <v>6.1871910234632488E-4</v>
      </c>
      <c r="AM86" s="54">
        <f>1.013*10^5*50*10^(-6)*(W86*10^(-6))/(8.3145*(273.15+25))/3*12.011*10^6</f>
        <v>4.2591587146417482E-4</v>
      </c>
      <c r="AN86" s="54">
        <f>1.013*10^5*50*10^(-6)*(X86*10^(-6))/(8.3145*(273.15+25))/3*12.011*10^6</f>
        <v>3.9248905480202928E-4</v>
      </c>
      <c r="AO86" s="54">
        <f>1.013*10^5*50*10^(-6)*(Y86*10^(-6))/(8.3145*(273.15+25))/3*12.011*10^6</f>
        <v>6.2715659475041582E-4</v>
      </c>
      <c r="AP86" s="54">
        <f>1.013*10^5*50*10^(-6)*(Z86*10^(-6))/(8.3145*(273.15+25))/3*12.011*10^6</f>
        <v>3.4167403633307298E-4</v>
      </c>
      <c r="AZ86">
        <v>83</v>
      </c>
      <c r="BA86">
        <f>C86-B86</f>
        <v>1058.3819642678304</v>
      </c>
      <c r="BB86">
        <f>('7-24-13 Final'!S101-'7-24-13 Initial'!S101)*60</f>
        <v>131.00000000000364</v>
      </c>
      <c r="BC86">
        <f>BD86/60</f>
        <v>0.13465419392720115</v>
      </c>
      <c r="BD86">
        <f>BA86/BB86</f>
        <v>8.0792516356320689</v>
      </c>
      <c r="BE86">
        <f>BD86/3</f>
        <v>2.693083878544023</v>
      </c>
      <c r="BF86" s="48">
        <f>D86-B86</f>
        <v>30941.07234863886</v>
      </c>
      <c r="BG86">
        <f>('7-29-13 Final #2'!S101-'7-24-13 Initial'!S101)*60</f>
        <v>6818</v>
      </c>
      <c r="BH86">
        <f>BI86/60</f>
        <v>7.563574936110018E-2</v>
      </c>
      <c r="BI86">
        <f>BF86/BG86</f>
        <v>4.5381449616660108</v>
      </c>
      <c r="BJ86">
        <f>BI86/3</f>
        <v>1.5127149872220036</v>
      </c>
      <c r="BK86" s="48">
        <f>G86-F86</f>
        <v>8434.7541378501301</v>
      </c>
      <c r="BL86">
        <f>60*('8-1-13 Final #1'!S101-'7-30-13 Initial + cap'!S101)</f>
        <v>2700</v>
      </c>
      <c r="BM86">
        <f>BN86/60</f>
        <v>5.2066383566976113E-2</v>
      </c>
      <c r="BN86">
        <f>BK86/BL86</f>
        <v>3.1239830140185667</v>
      </c>
      <c r="BO86">
        <f>BN86/3</f>
        <v>1.0413276713395223</v>
      </c>
      <c r="BP86" s="48">
        <f>H86-F86</f>
        <v>24495.759737035019</v>
      </c>
      <c r="BQ86">
        <f>('8-5-13 final 1'!S101-'7-30-13 Initial + cap'!S101)*60</f>
        <v>8508.9999999999964</v>
      </c>
      <c r="BR86">
        <f>BS86/60</f>
        <v>4.798009898741535E-2</v>
      </c>
      <c r="BS86">
        <f>BP86/BQ86</f>
        <v>2.8788059392449208</v>
      </c>
      <c r="BT86">
        <f>BS86/3</f>
        <v>0.95960197974830697</v>
      </c>
      <c r="BU86" s="48">
        <f>'8-8-13 Final'!U101-'8-5-13 initial'!U101</f>
        <v>19697.336130101034</v>
      </c>
      <c r="BV86">
        <f>('8-8-13 Final'!S101-'8-5-13 initial'!S101)*60</f>
        <v>4282</v>
      </c>
      <c r="BW86">
        <f>BX86/60</f>
        <v>7.6667196520710856E-2</v>
      </c>
      <c r="BX86">
        <f>BU86/BV86</f>
        <v>4.6000317912426514</v>
      </c>
      <c r="BY86">
        <f>BX86/3</f>
        <v>1.5333439304142171</v>
      </c>
      <c r="BZ86" s="48">
        <v>28694.740702675499</v>
      </c>
      <c r="CA86">
        <v>11450</v>
      </c>
      <c r="CB86">
        <f>CC86/60</f>
        <v>4.1768181517722665E-2</v>
      </c>
      <c r="CC86">
        <v>2.5060908910633599</v>
      </c>
      <c r="CD86">
        <v>0.83536363035445504</v>
      </c>
    </row>
    <row r="87" spans="1:82">
      <c r="A87" s="18">
        <v>84</v>
      </c>
      <c r="B87">
        <v>1116.22180907852</v>
      </c>
      <c r="C87">
        <v>1215.5738308104901</v>
      </c>
      <c r="D87">
        <v>8681.94786803221</v>
      </c>
      <c r="F87">
        <v>13367.712471512399</v>
      </c>
      <c r="G87">
        <v>18418.176171017101</v>
      </c>
      <c r="H87">
        <v>36392.705399940503</v>
      </c>
      <c r="I87">
        <v>35930.043113909604</v>
      </c>
      <c r="J87">
        <v>43447.190553424698</v>
      </c>
      <c r="K87">
        <v>43041.878704847397</v>
      </c>
      <c r="M87">
        <f>C87-B87</f>
        <v>99.352021731970126</v>
      </c>
      <c r="N87">
        <f>D87-B87</f>
        <v>7565.72605895369</v>
      </c>
      <c r="O87">
        <f>(G87-F87)+N87</f>
        <v>12616.189758458393</v>
      </c>
      <c r="P87">
        <f>(H87-F87)+N87</f>
        <v>30590.718987381792</v>
      </c>
      <c r="Q87">
        <f>(J87-I87)+P87</f>
        <v>38107.866426896886</v>
      </c>
      <c r="R87">
        <f>(K87-J87)+Q87</f>
        <v>37702.554578319585</v>
      </c>
      <c r="U87">
        <v>2.2998153178695802E-2</v>
      </c>
      <c r="V87">
        <v>1.8494490219403699E-2</v>
      </c>
      <c r="W87">
        <v>3.1175701848794399E-2</v>
      </c>
      <c r="X87">
        <v>4.5099292765362398E-2</v>
      </c>
      <c r="Y87">
        <v>2.9258708701210799E-2</v>
      </c>
      <c r="Z87">
        <v>1.03520168718163E-2</v>
      </c>
      <c r="AC87" s="54">
        <f>1.013*10^5*50*10^(-6)*(M87*10^(-6))/(8.3145*(273.15+25))/3*12.011*10^6</f>
        <v>0.81272406529381103</v>
      </c>
      <c r="AD87" s="54">
        <f>1.013*10^5*50*10^(-6)*(N87*10^(-6))/(8.3145*(273.15+25))/3*12.011*10^6</f>
        <v>61.889506950552082</v>
      </c>
      <c r="AE87" s="54">
        <f>1.013*10^5*50*10^(-6)*(O87*10^(-6))/(8.3145*(273.15+25))/3*12.011*10^6</f>
        <v>103.2035468455195</v>
      </c>
      <c r="AF87" s="54">
        <f>1.013*10^5*50*10^(-6)*(P87*10^(-6))/(8.3145*(273.15+25))/3*12.011*10^6</f>
        <v>250.23963339928005</v>
      </c>
      <c r="AG87" s="54">
        <f>1.013*10^5*50*10^(-6)*(Q87*10^(-6))/(8.3145*(273.15+25))/3*12.011*10^6</f>
        <v>311.73175524997964</v>
      </c>
      <c r="AH87" s="54">
        <f>1.013*10^5*50*10^(-6)*(R87*10^(-6))/(8.3145*(273.15+25))/3*12.011*10^6</f>
        <v>308.41620426727138</v>
      </c>
      <c r="AK87" s="54">
        <f>1.013*10^5*50*10^(-6)*(U87*10^(-6))/(8.3145*(273.15+25))/3*12.011*10^6</f>
        <v>1.8813057066985556E-4</v>
      </c>
      <c r="AL87" s="54">
        <f>1.013*10^5*50*10^(-6)*(V87*10^(-6))/(8.3145*(273.15+25))/3*12.011*10^6</f>
        <v>1.5128949582123762E-4</v>
      </c>
      <c r="AM87" s="54">
        <f>1.013*10^5*50*10^(-6)*(W87*10^(-6))/(8.3145*(273.15+25))/3*12.011*10^6</f>
        <v>2.5502493762325504E-4</v>
      </c>
      <c r="AN87" s="54">
        <f>1.013*10^5*50*10^(-6)*(X87*10^(-6))/(8.3145*(273.15+25))/3*12.011*10^6</f>
        <v>3.6892334870671851E-4</v>
      </c>
      <c r="AO87" s="54">
        <f>1.013*10^5*50*10^(-6)*(Y87*10^(-6))/(8.3145*(273.15+25))/3*12.011*10^6</f>
        <v>2.3934346041841641E-4</v>
      </c>
      <c r="AP87" s="54">
        <f>1.013*10^5*50*10^(-6)*(Z87*10^(-6))/(8.3145*(273.15+25))/3*12.011*10^6</f>
        <v>8.4682053665198519E-5</v>
      </c>
      <c r="AZ87" s="18">
        <v>84</v>
      </c>
      <c r="BA87">
        <f>C87-B87</f>
        <v>99.352021731970126</v>
      </c>
      <c r="BB87">
        <f>('7-24-13 Final'!S102-'7-24-13 Initial'!S102)*60</f>
        <v>72.000000000002728</v>
      </c>
      <c r="BC87">
        <f>BD87/60</f>
        <v>2.2998153178695916E-2</v>
      </c>
      <c r="BD87">
        <f>BA87/BB87</f>
        <v>1.379889190721755</v>
      </c>
      <c r="BE87">
        <f>BD87/3</f>
        <v>0.45996306357391831</v>
      </c>
      <c r="BF87" s="48">
        <f>D87-B87</f>
        <v>7565.72605895369</v>
      </c>
      <c r="BG87">
        <f>('7-29-13 Final #2'!S102-'7-24-13 Initial'!S102)*60</f>
        <v>6818</v>
      </c>
      <c r="BH87">
        <f>BI87/60</f>
        <v>1.8494490219403758E-2</v>
      </c>
      <c r="BI87">
        <f>BF87/BG87</f>
        <v>1.1096694131642255</v>
      </c>
      <c r="BJ87">
        <f>BI87/3</f>
        <v>0.36988980438807517</v>
      </c>
      <c r="BK87" s="48">
        <f>G87-F87</f>
        <v>5050.4636995047022</v>
      </c>
      <c r="BL87">
        <f>60*('8-1-13 Final #1'!S102-'7-30-13 Initial + cap'!S102)</f>
        <v>2700</v>
      </c>
      <c r="BM87">
        <f>BN87/60</f>
        <v>3.1175701848794458E-2</v>
      </c>
      <c r="BN87">
        <f>BK87/BL87</f>
        <v>1.8705421109276674</v>
      </c>
      <c r="BO87">
        <f>BN87/3</f>
        <v>0.62351403697588914</v>
      </c>
      <c r="BP87" s="48">
        <f>H87-F87</f>
        <v>23024.992928428102</v>
      </c>
      <c r="BQ87">
        <f>('8-5-13 final 1'!S102-'7-30-13 Initial + cap'!S102)*60</f>
        <v>8509.0000000000036</v>
      </c>
      <c r="BR87">
        <f>BS87/60</f>
        <v>4.5099292765362349E-2</v>
      </c>
      <c r="BS87">
        <f>BP87/BQ87</f>
        <v>2.7059575659217407</v>
      </c>
      <c r="BT87">
        <f>BS87/3</f>
        <v>0.90198585530724695</v>
      </c>
      <c r="BU87" s="48">
        <f>'8-8-13 Final'!U102-'8-5-13 initial'!U102</f>
        <v>7517.1474395150726</v>
      </c>
      <c r="BV87">
        <f>('8-8-13 Final'!S102-'8-5-13 initial'!S102)*60</f>
        <v>4282</v>
      </c>
      <c r="BW87">
        <f>BX87/60</f>
        <v>2.9258708701210775E-2</v>
      </c>
      <c r="BX87">
        <f>BU87/BV87</f>
        <v>1.7555225220726465</v>
      </c>
      <c r="BY87">
        <f>BX87/3</f>
        <v>0.58517417402421545</v>
      </c>
      <c r="BZ87" s="48">
        <v>7111.8355909378197</v>
      </c>
      <c r="CA87">
        <v>11450</v>
      </c>
      <c r="CB87">
        <f>CC87/60</f>
        <v>1.0352016871816333E-2</v>
      </c>
      <c r="CC87">
        <v>0.62112101230897998</v>
      </c>
      <c r="CD87">
        <v>0.20704033743632699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ACF09064DE14D8EFBFC6E3540DCCF" ma:contentTypeVersion="11" ma:contentTypeDescription="Create a new document." ma:contentTypeScope="" ma:versionID="e061e3c4c5dbca8eb4e32e3d84747fcf">
  <xsd:schema xmlns:xsd="http://www.w3.org/2001/XMLSchema" xmlns:xs="http://www.w3.org/2001/XMLSchema" xmlns:p="http://schemas.microsoft.com/office/2006/metadata/properties" xmlns:ns2="a809ce8a-9d66-4d30-be06-38be3be0f86b" xmlns:ns3="8fc0d3cb-8a9e-4359-a3bd-9f467d8e5ede" targetNamespace="http://schemas.microsoft.com/office/2006/metadata/properties" ma:root="true" ma:fieldsID="034d9f02bc20fd5545347b8a91df7b74" ns2:_="" ns3:_="">
    <xsd:import namespace="a809ce8a-9d66-4d30-be06-38be3be0f86b"/>
    <xsd:import namespace="8fc0d3cb-8a9e-4359-a3bd-9f467d8e5e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9ce8a-9d66-4d30-be06-38be3be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d3cb-8a9e-4359-a3bd-9f467d8e5e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6037d5-af0b-40fd-ad27-58c568909ed5}" ma:internalName="TaxCatchAll" ma:showField="CatchAllData" ma:web="8fc0d3cb-8a9e-4359-a3bd-9f467d8e5e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c0d3cb-8a9e-4359-a3bd-9f467d8e5ede" xsi:nil="true"/>
    <lcf76f155ced4ddcb4097134ff3c332f xmlns="a809ce8a-9d66-4d30-be06-38be3be0f8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6AEB0-428F-450A-AA85-0D44CE30D021}"/>
</file>

<file path=customXml/itemProps2.xml><?xml version="1.0" encoding="utf-8"?>
<ds:datastoreItem xmlns:ds="http://schemas.openxmlformats.org/officeDocument/2006/customXml" ds:itemID="{646BF8D6-C2D5-4608-9581-8B493434926B}"/>
</file>

<file path=customXml/itemProps3.xml><?xml version="1.0" encoding="utf-8"?>
<ds:datastoreItem xmlns:ds="http://schemas.openxmlformats.org/officeDocument/2006/customXml" ds:itemID="{BC4E15FC-DBCD-40CE-9364-4095E65D78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zahn</dc:creator>
  <cp:keywords/>
  <dc:description/>
  <cp:lastModifiedBy>Connor Dority</cp:lastModifiedBy>
  <cp:revision>0</cp:revision>
  <dcterms:created xsi:type="dcterms:W3CDTF">2013-07-16T20:17:09Z</dcterms:created>
  <dcterms:modified xsi:type="dcterms:W3CDTF">2026-03-03T17:17:11Z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0x0101008DCACF09064DE14D8EFBFC6E3540DCCF</vt:lpwstr>
  </property>
  <property fmtid="{D5CDD505-2E9C-101B-9397-08002B2CF9AE}" pid="9" name="MediaServiceImageTags">
    <vt:lpwstr/>
  </property>
</Properties>
</file>